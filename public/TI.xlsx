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nric\OneDrive\Área de Trabalho\"/>
    </mc:Choice>
  </mc:AlternateContent>
  <xr:revisionPtr revIDLastSave="0" documentId="13_ncr:1_{7F48DF3D-B174-4F56-95DD-CAD7736A110C}" xr6:coauthVersionLast="47" xr6:coauthVersionMax="47" xr10:uidLastSave="{00000000-0000-0000-0000-000000000000}"/>
  <bookViews>
    <workbookView xWindow="-120" yWindow="-120" windowWidth="29040" windowHeight="15720" tabRatio="615" xr2:uid="{78C36274-5EBB-4177-B8BA-70558E5AEEAA}"/>
  </bookViews>
  <sheets>
    <sheet name="Software" sheetId="2" r:id="rId1"/>
    <sheet name="Hardware" sheetId="3" r:id="rId2"/>
  </sheets>
  <definedNames>
    <definedName name="_xlnm._FilterDatabase" localSheetId="1" hidden="1">Hardware!$A$3:$N$241</definedName>
    <definedName name="_xlnm._FilterDatabase" localSheetId="0" hidden="1">Software!$A$3:$AP$524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2" l="1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L1" i="2"/>
  <c r="AM1" i="2"/>
  <c r="AN1" i="2"/>
  <c r="AO1" i="2"/>
  <c r="M1" i="2"/>
  <c r="AK524" i="2"/>
  <c r="AK1" i="2" s="1"/>
  <c r="AP523" i="2"/>
  <c r="AP522" i="2"/>
  <c r="AP521" i="2"/>
  <c r="AP520" i="2"/>
  <c r="AP519" i="2"/>
  <c r="AP518" i="2"/>
  <c r="AP517" i="2"/>
  <c r="AP516" i="2"/>
  <c r="AP515" i="2"/>
  <c r="AP524" i="2" l="1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5" i="2"/>
  <c r="AP106" i="2"/>
  <c r="AP107" i="2"/>
  <c r="AP108" i="2"/>
  <c r="AP109" i="2"/>
  <c r="AP110" i="2"/>
  <c r="AP111" i="2"/>
  <c r="AP112" i="2"/>
  <c r="AP113" i="2"/>
  <c r="AP114" i="2"/>
  <c r="AP115" i="2"/>
  <c r="AP116" i="2"/>
  <c r="AP117" i="2"/>
  <c r="AP118" i="2"/>
  <c r="AP119" i="2"/>
  <c r="AP120" i="2"/>
  <c r="AP121" i="2"/>
  <c r="AP122" i="2"/>
  <c r="AP123" i="2"/>
  <c r="AP124" i="2"/>
  <c r="AP125" i="2"/>
  <c r="AP126" i="2"/>
  <c r="AP127" i="2"/>
  <c r="AP128" i="2"/>
  <c r="AP129" i="2"/>
  <c r="AP130" i="2"/>
  <c r="AP131" i="2"/>
  <c r="AP132" i="2"/>
  <c r="AP133" i="2"/>
  <c r="AP134" i="2"/>
  <c r="AP135" i="2"/>
  <c r="AP136" i="2"/>
  <c r="AP137" i="2"/>
  <c r="AP138" i="2"/>
  <c r="AP139" i="2"/>
  <c r="AP140" i="2"/>
  <c r="AP141" i="2"/>
  <c r="AP142" i="2"/>
  <c r="AP143" i="2"/>
  <c r="AP144" i="2"/>
  <c r="AP145" i="2"/>
  <c r="AP146" i="2"/>
  <c r="AP147" i="2"/>
  <c r="AP148" i="2"/>
  <c r="AP149" i="2"/>
  <c r="AP150" i="2"/>
  <c r="AP151" i="2"/>
  <c r="AP152" i="2"/>
  <c r="AP153" i="2"/>
  <c r="AP154" i="2"/>
  <c r="AP155" i="2"/>
  <c r="AP156" i="2"/>
  <c r="AP157" i="2"/>
  <c r="AP158" i="2"/>
  <c r="AP159" i="2"/>
  <c r="AP160" i="2"/>
  <c r="AP161" i="2"/>
  <c r="AP162" i="2"/>
  <c r="AP163" i="2"/>
  <c r="AP164" i="2"/>
  <c r="AP165" i="2"/>
  <c r="AP166" i="2"/>
  <c r="AP167" i="2"/>
  <c r="AP168" i="2"/>
  <c r="AP169" i="2"/>
  <c r="AP170" i="2"/>
  <c r="AP171" i="2"/>
  <c r="AP172" i="2"/>
  <c r="AP173" i="2"/>
  <c r="AP174" i="2"/>
  <c r="AP175" i="2"/>
  <c r="AP176" i="2"/>
  <c r="AP177" i="2"/>
  <c r="AP178" i="2"/>
  <c r="AP179" i="2"/>
  <c r="AP180" i="2"/>
  <c r="AP181" i="2"/>
  <c r="AP182" i="2"/>
  <c r="AP183" i="2"/>
  <c r="AP184" i="2"/>
  <c r="AP185" i="2"/>
  <c r="AP186" i="2"/>
  <c r="AP187" i="2"/>
  <c r="AP188" i="2"/>
  <c r="AP189" i="2"/>
  <c r="AP190" i="2"/>
  <c r="AP191" i="2"/>
  <c r="AP192" i="2"/>
  <c r="AP193" i="2"/>
  <c r="AP194" i="2"/>
  <c r="AP195" i="2"/>
  <c r="AP196" i="2"/>
  <c r="AP197" i="2"/>
  <c r="AP198" i="2"/>
  <c r="AP199" i="2"/>
  <c r="AP200" i="2"/>
  <c r="AP201" i="2"/>
  <c r="AP202" i="2"/>
  <c r="AP203" i="2"/>
  <c r="AP204" i="2"/>
  <c r="AP205" i="2"/>
  <c r="AP206" i="2"/>
  <c r="AP207" i="2"/>
  <c r="AP208" i="2"/>
  <c r="AP209" i="2"/>
  <c r="AP210" i="2"/>
  <c r="AP211" i="2"/>
  <c r="AP212" i="2"/>
  <c r="AP213" i="2"/>
  <c r="AP214" i="2"/>
  <c r="AP215" i="2"/>
  <c r="AP216" i="2"/>
  <c r="AP217" i="2"/>
  <c r="AP218" i="2"/>
  <c r="AP219" i="2"/>
  <c r="AP220" i="2"/>
  <c r="AP221" i="2"/>
  <c r="AP222" i="2"/>
  <c r="AP223" i="2"/>
  <c r="AP224" i="2"/>
  <c r="AP225" i="2"/>
  <c r="AP226" i="2"/>
  <c r="AP227" i="2"/>
  <c r="AP228" i="2"/>
  <c r="AP229" i="2"/>
  <c r="AP230" i="2"/>
  <c r="AP231" i="2"/>
  <c r="AP232" i="2"/>
  <c r="AP233" i="2"/>
  <c r="AP234" i="2"/>
  <c r="AP235" i="2"/>
  <c r="AP236" i="2"/>
  <c r="AP237" i="2"/>
  <c r="AP238" i="2"/>
  <c r="AP239" i="2"/>
  <c r="AP240" i="2"/>
  <c r="AP241" i="2"/>
  <c r="AP242" i="2"/>
  <c r="AP243" i="2"/>
  <c r="AP244" i="2"/>
  <c r="AP245" i="2"/>
  <c r="AP246" i="2"/>
  <c r="AP247" i="2"/>
  <c r="AP248" i="2"/>
  <c r="AP249" i="2"/>
  <c r="AP250" i="2"/>
  <c r="AP251" i="2"/>
  <c r="AP252" i="2"/>
  <c r="AP253" i="2"/>
  <c r="AP254" i="2"/>
  <c r="AP255" i="2"/>
  <c r="AP256" i="2"/>
  <c r="AP257" i="2"/>
  <c r="AP258" i="2"/>
  <c r="AP259" i="2"/>
  <c r="AP260" i="2"/>
  <c r="AP261" i="2"/>
  <c r="AP262" i="2"/>
  <c r="AP263" i="2"/>
  <c r="AP264" i="2"/>
  <c r="AP265" i="2"/>
  <c r="AP266" i="2"/>
  <c r="AP267" i="2"/>
  <c r="AP268" i="2"/>
  <c r="AP269" i="2"/>
  <c r="AP270" i="2"/>
  <c r="AP271" i="2"/>
  <c r="AP272" i="2"/>
  <c r="AP273" i="2"/>
  <c r="AP274" i="2"/>
  <c r="AP275" i="2"/>
  <c r="AP276" i="2"/>
  <c r="AP277" i="2"/>
  <c r="AP278" i="2"/>
  <c r="AP279" i="2"/>
  <c r="AP280" i="2"/>
  <c r="AP281" i="2"/>
  <c r="AP282" i="2"/>
  <c r="AP283" i="2"/>
  <c r="AP284" i="2"/>
  <c r="AP285" i="2"/>
  <c r="AP286" i="2"/>
  <c r="AP287" i="2"/>
  <c r="AP288" i="2"/>
  <c r="AP289" i="2"/>
  <c r="AP290" i="2"/>
  <c r="AP291" i="2"/>
  <c r="AP292" i="2"/>
  <c r="AP293" i="2"/>
  <c r="AP294" i="2"/>
  <c r="AP295" i="2"/>
  <c r="AP296" i="2"/>
  <c r="AP297" i="2"/>
  <c r="AP298" i="2"/>
  <c r="AP299" i="2"/>
  <c r="AP300" i="2"/>
  <c r="AP301" i="2"/>
  <c r="AP302" i="2"/>
  <c r="AP303" i="2"/>
  <c r="AP304" i="2"/>
  <c r="AP305" i="2"/>
  <c r="AP306" i="2"/>
  <c r="AP307" i="2"/>
  <c r="AP308" i="2"/>
  <c r="AP309" i="2"/>
  <c r="AP310" i="2"/>
  <c r="AP311" i="2"/>
  <c r="AP312" i="2"/>
  <c r="AP313" i="2"/>
  <c r="AP314" i="2"/>
  <c r="AP315" i="2"/>
  <c r="AP316" i="2"/>
  <c r="AP317" i="2"/>
  <c r="AP318" i="2"/>
  <c r="AP319" i="2"/>
  <c r="AP320" i="2"/>
  <c r="AP321" i="2"/>
  <c r="AP322" i="2"/>
  <c r="AP323" i="2"/>
  <c r="AP324" i="2"/>
  <c r="AP325" i="2"/>
  <c r="AP326" i="2"/>
  <c r="AP327" i="2"/>
  <c r="AP328" i="2"/>
  <c r="AP329" i="2"/>
  <c r="AP330" i="2"/>
  <c r="AP331" i="2"/>
  <c r="AP332" i="2"/>
  <c r="AP333" i="2"/>
  <c r="AP334" i="2"/>
  <c r="AP335" i="2"/>
  <c r="AP336" i="2"/>
  <c r="AP337" i="2"/>
  <c r="AP338" i="2"/>
  <c r="AP339" i="2"/>
  <c r="AP340" i="2"/>
  <c r="AP341" i="2"/>
  <c r="AP342" i="2"/>
  <c r="AP343" i="2"/>
  <c r="AP344" i="2"/>
  <c r="AP345" i="2"/>
  <c r="AP346" i="2"/>
  <c r="AP347" i="2"/>
  <c r="AP348" i="2"/>
  <c r="AP349" i="2"/>
  <c r="AP350" i="2"/>
  <c r="AP351" i="2"/>
  <c r="AP352" i="2"/>
  <c r="AP353" i="2"/>
  <c r="AP354" i="2"/>
  <c r="AP355" i="2"/>
  <c r="AP356" i="2"/>
  <c r="AP357" i="2"/>
  <c r="AP358" i="2"/>
  <c r="AP359" i="2"/>
  <c r="AP360" i="2"/>
  <c r="AP361" i="2"/>
  <c r="AP362" i="2"/>
  <c r="AP363" i="2"/>
  <c r="AP364" i="2"/>
  <c r="AP365" i="2"/>
  <c r="AP366" i="2"/>
  <c r="AP367" i="2"/>
  <c r="AP368" i="2"/>
  <c r="AP369" i="2"/>
  <c r="AP370" i="2"/>
  <c r="AP371" i="2"/>
  <c r="AP372" i="2"/>
  <c r="AP373" i="2"/>
  <c r="AP374" i="2"/>
  <c r="AP375" i="2"/>
  <c r="AP376" i="2"/>
  <c r="AP377" i="2"/>
  <c r="AP378" i="2"/>
  <c r="AP379" i="2"/>
  <c r="AP380" i="2"/>
  <c r="AP381" i="2"/>
  <c r="AP382" i="2"/>
  <c r="AP383" i="2"/>
  <c r="AP384" i="2"/>
  <c r="AP385" i="2"/>
  <c r="AP386" i="2"/>
  <c r="AP387" i="2"/>
  <c r="AP388" i="2"/>
  <c r="AP389" i="2"/>
  <c r="AP390" i="2"/>
  <c r="AP391" i="2"/>
  <c r="AP392" i="2"/>
  <c r="AP393" i="2"/>
  <c r="AP394" i="2"/>
  <c r="AP395" i="2"/>
  <c r="AP396" i="2"/>
  <c r="AP397" i="2"/>
  <c r="AP398" i="2"/>
  <c r="AP399" i="2"/>
  <c r="AP400" i="2"/>
  <c r="AP401" i="2"/>
  <c r="AP402" i="2"/>
  <c r="AP403" i="2"/>
  <c r="AP404" i="2"/>
  <c r="AP405" i="2"/>
  <c r="AP406" i="2"/>
  <c r="AP407" i="2"/>
  <c r="AP408" i="2"/>
  <c r="AP409" i="2"/>
  <c r="AP410" i="2"/>
  <c r="AP411" i="2"/>
  <c r="AP412" i="2"/>
  <c r="AP413" i="2"/>
  <c r="AP414" i="2"/>
  <c r="AP415" i="2"/>
  <c r="AP416" i="2"/>
  <c r="AP417" i="2"/>
  <c r="AP418" i="2"/>
  <c r="AP419" i="2"/>
  <c r="AP420" i="2"/>
  <c r="AP421" i="2"/>
  <c r="AP422" i="2"/>
  <c r="AP423" i="2"/>
  <c r="AP424" i="2"/>
  <c r="AP425" i="2"/>
  <c r="AP426" i="2"/>
  <c r="AP427" i="2"/>
  <c r="AP428" i="2"/>
  <c r="AP429" i="2"/>
  <c r="AP430" i="2"/>
  <c r="AP431" i="2"/>
  <c r="AP432" i="2"/>
  <c r="AP433" i="2"/>
  <c r="AP434" i="2"/>
  <c r="AP435" i="2"/>
  <c r="AP436" i="2"/>
  <c r="AP437" i="2"/>
  <c r="AP438" i="2"/>
  <c r="AP439" i="2"/>
  <c r="AP440" i="2"/>
  <c r="AP441" i="2"/>
  <c r="AP442" i="2"/>
  <c r="AP443" i="2"/>
  <c r="AP444" i="2"/>
  <c r="AP445" i="2"/>
  <c r="AP446" i="2"/>
  <c r="AP447" i="2"/>
  <c r="AP448" i="2"/>
  <c r="AP449" i="2"/>
  <c r="AP450" i="2"/>
  <c r="AP451" i="2"/>
  <c r="AP452" i="2"/>
  <c r="AP453" i="2"/>
  <c r="AP454" i="2"/>
  <c r="AP455" i="2"/>
  <c r="AP456" i="2"/>
  <c r="AP457" i="2"/>
  <c r="AP458" i="2"/>
  <c r="AP459" i="2"/>
  <c r="AP460" i="2"/>
  <c r="AP461" i="2"/>
  <c r="AP462" i="2"/>
  <c r="AP463" i="2"/>
  <c r="AP464" i="2"/>
  <c r="AP465" i="2"/>
  <c r="AP466" i="2"/>
  <c r="AP467" i="2"/>
  <c r="AP468" i="2"/>
  <c r="AP469" i="2"/>
  <c r="AP470" i="2"/>
  <c r="AP471" i="2"/>
  <c r="AP472" i="2"/>
  <c r="AP473" i="2"/>
  <c r="AP474" i="2"/>
  <c r="AP475" i="2"/>
  <c r="AP476" i="2"/>
  <c r="AP477" i="2"/>
  <c r="AP478" i="2"/>
  <c r="AP479" i="2"/>
  <c r="AP480" i="2"/>
  <c r="AP481" i="2"/>
  <c r="AP482" i="2"/>
  <c r="AP483" i="2"/>
  <c r="AP484" i="2"/>
  <c r="AP485" i="2"/>
  <c r="AP486" i="2"/>
  <c r="AP487" i="2"/>
  <c r="AP488" i="2"/>
  <c r="AP489" i="2"/>
  <c r="AP490" i="2"/>
  <c r="AP491" i="2"/>
  <c r="AP492" i="2"/>
  <c r="AP493" i="2"/>
  <c r="AP494" i="2"/>
  <c r="AP495" i="2"/>
  <c r="AP496" i="2"/>
  <c r="AP497" i="2"/>
  <c r="AP498" i="2"/>
  <c r="AP499" i="2"/>
  <c r="AP500" i="2"/>
  <c r="AP501" i="2"/>
  <c r="AP502" i="2"/>
  <c r="AP503" i="2"/>
  <c r="AP504" i="2"/>
  <c r="AP505" i="2"/>
  <c r="AP506" i="2"/>
  <c r="AP507" i="2"/>
  <c r="AP508" i="2"/>
  <c r="AP509" i="2"/>
  <c r="AP510" i="2"/>
  <c r="AP511" i="2"/>
  <c r="AP512" i="2"/>
  <c r="AP513" i="2"/>
  <c r="AP514" i="2"/>
  <c r="AP4" i="2"/>
  <c r="BU5" i="3"/>
  <c r="BU6" i="3"/>
  <c r="BU7" i="3"/>
  <c r="BU8" i="3"/>
  <c r="BU9" i="3"/>
  <c r="BU10" i="3"/>
  <c r="BU11" i="3"/>
  <c r="BU12" i="3"/>
  <c r="BU13" i="3"/>
  <c r="BU14" i="3"/>
  <c r="BU15" i="3"/>
  <c r="BU16" i="3"/>
  <c r="BU17" i="3"/>
  <c r="BU18" i="3"/>
  <c r="BU19" i="3"/>
  <c r="BU20" i="3"/>
  <c r="BU21" i="3"/>
  <c r="BU22" i="3"/>
  <c r="BU23" i="3"/>
  <c r="BU24" i="3"/>
  <c r="BU25" i="3"/>
  <c r="BU26" i="3"/>
  <c r="BU27" i="3"/>
  <c r="BU28" i="3"/>
  <c r="BU29" i="3"/>
  <c r="BU30" i="3"/>
  <c r="BU31" i="3"/>
  <c r="BU32" i="3"/>
  <c r="BU33" i="3"/>
  <c r="BU34" i="3"/>
  <c r="BU35" i="3"/>
  <c r="BU36" i="3"/>
  <c r="BU37" i="3"/>
  <c r="BU38" i="3"/>
  <c r="BU39" i="3"/>
  <c r="BU40" i="3"/>
  <c r="BU41" i="3"/>
  <c r="BU42" i="3"/>
  <c r="BU43" i="3"/>
  <c r="BU44" i="3"/>
  <c r="BU45" i="3"/>
  <c r="BU46" i="3"/>
  <c r="BU47" i="3"/>
  <c r="BU48" i="3"/>
  <c r="BU49" i="3"/>
  <c r="BU50" i="3"/>
  <c r="BU51" i="3"/>
  <c r="BU52" i="3"/>
  <c r="BU53" i="3"/>
  <c r="BU54" i="3"/>
  <c r="BU55" i="3"/>
  <c r="BU56" i="3"/>
  <c r="BU57" i="3"/>
  <c r="BU58" i="3"/>
  <c r="BU59" i="3"/>
  <c r="BU60" i="3"/>
  <c r="BU61" i="3"/>
  <c r="BU62" i="3"/>
  <c r="BU63" i="3"/>
  <c r="BU64" i="3"/>
  <c r="BU65" i="3"/>
  <c r="BU66" i="3"/>
  <c r="BU67" i="3"/>
  <c r="BU68" i="3"/>
  <c r="BU69" i="3"/>
  <c r="BU70" i="3"/>
  <c r="BU71" i="3"/>
  <c r="BU72" i="3"/>
  <c r="BU73" i="3"/>
  <c r="BU74" i="3"/>
  <c r="BU75" i="3"/>
  <c r="BU76" i="3"/>
  <c r="BU77" i="3"/>
  <c r="BU78" i="3"/>
  <c r="BU79" i="3"/>
  <c r="BU80" i="3"/>
  <c r="BU81" i="3"/>
  <c r="BU82" i="3"/>
  <c r="BU83" i="3"/>
  <c r="BU84" i="3"/>
  <c r="BU85" i="3"/>
  <c r="BU86" i="3"/>
  <c r="BU87" i="3"/>
  <c r="BU88" i="3"/>
  <c r="BU89" i="3"/>
  <c r="BU90" i="3"/>
  <c r="BU91" i="3"/>
  <c r="BU92" i="3"/>
  <c r="BU93" i="3"/>
  <c r="BU94" i="3"/>
  <c r="BU95" i="3"/>
  <c r="BU96" i="3"/>
  <c r="BU97" i="3"/>
  <c r="BU98" i="3"/>
  <c r="BU99" i="3"/>
  <c r="BU100" i="3"/>
  <c r="BU101" i="3"/>
  <c r="BU102" i="3"/>
  <c r="BU103" i="3"/>
  <c r="BU104" i="3"/>
  <c r="BU105" i="3"/>
  <c r="BU106" i="3"/>
  <c r="BU107" i="3"/>
  <c r="BU108" i="3"/>
  <c r="BU109" i="3"/>
  <c r="BU110" i="3"/>
  <c r="BU111" i="3"/>
  <c r="BU112" i="3"/>
  <c r="BU113" i="3"/>
  <c r="BU114" i="3"/>
  <c r="BU115" i="3"/>
  <c r="BU116" i="3"/>
  <c r="BU117" i="3"/>
  <c r="BU118" i="3"/>
  <c r="BU119" i="3"/>
  <c r="BU120" i="3"/>
  <c r="BU121" i="3"/>
  <c r="BU122" i="3"/>
  <c r="BU123" i="3"/>
  <c r="BU124" i="3"/>
  <c r="BU125" i="3"/>
  <c r="BU126" i="3"/>
  <c r="BU127" i="3"/>
  <c r="BU128" i="3"/>
  <c r="BU129" i="3"/>
  <c r="BU130" i="3"/>
  <c r="BU131" i="3"/>
  <c r="BU132" i="3"/>
  <c r="BU133" i="3"/>
  <c r="BU134" i="3"/>
  <c r="BU135" i="3"/>
  <c r="BU136" i="3"/>
  <c r="BU137" i="3"/>
  <c r="BU138" i="3"/>
  <c r="BU139" i="3"/>
  <c r="BU140" i="3"/>
  <c r="BU141" i="3"/>
  <c r="BU142" i="3"/>
  <c r="BU143" i="3"/>
  <c r="BU144" i="3"/>
  <c r="BU145" i="3"/>
  <c r="BU146" i="3"/>
  <c r="BU147" i="3"/>
  <c r="BU148" i="3"/>
  <c r="BU149" i="3"/>
  <c r="BU150" i="3"/>
  <c r="BU151" i="3"/>
  <c r="BU152" i="3"/>
  <c r="BU153" i="3"/>
  <c r="BU154" i="3"/>
  <c r="BU155" i="3"/>
  <c r="BU156" i="3"/>
  <c r="BU157" i="3"/>
  <c r="BU158" i="3"/>
  <c r="BU159" i="3"/>
  <c r="BU160" i="3"/>
  <c r="BU161" i="3"/>
  <c r="BU162" i="3"/>
  <c r="BU163" i="3"/>
  <c r="BU164" i="3"/>
  <c r="BU165" i="3"/>
  <c r="BU166" i="3"/>
  <c r="BU167" i="3"/>
  <c r="BU168" i="3"/>
  <c r="BU169" i="3"/>
  <c r="BU170" i="3"/>
  <c r="BU171" i="3"/>
  <c r="BU172" i="3"/>
  <c r="BU173" i="3"/>
  <c r="BU174" i="3"/>
  <c r="BU175" i="3"/>
  <c r="BU176" i="3"/>
  <c r="BU177" i="3"/>
  <c r="BU178" i="3"/>
  <c r="BU179" i="3"/>
  <c r="BU180" i="3"/>
  <c r="BU181" i="3"/>
  <c r="BU182" i="3"/>
  <c r="BU183" i="3"/>
  <c r="BU184" i="3"/>
  <c r="BU185" i="3"/>
  <c r="BU186" i="3"/>
  <c r="BU187" i="3"/>
  <c r="BU188" i="3"/>
  <c r="BU189" i="3"/>
  <c r="BU190" i="3"/>
  <c r="BU191" i="3"/>
  <c r="BU192" i="3"/>
  <c r="BU193" i="3"/>
  <c r="BU194" i="3"/>
  <c r="BU195" i="3"/>
  <c r="BU196" i="3"/>
  <c r="BU197" i="3"/>
  <c r="BU198" i="3"/>
  <c r="BU199" i="3"/>
  <c r="BU200" i="3"/>
  <c r="BU201" i="3"/>
  <c r="BU202" i="3"/>
  <c r="BU203" i="3"/>
  <c r="BU204" i="3"/>
  <c r="BU205" i="3"/>
  <c r="BU206" i="3"/>
  <c r="BU207" i="3"/>
  <c r="BU208" i="3"/>
  <c r="BU209" i="3"/>
  <c r="BU210" i="3"/>
  <c r="BU211" i="3"/>
  <c r="BU212" i="3"/>
  <c r="BU213" i="3"/>
  <c r="BU214" i="3"/>
  <c r="BU215" i="3"/>
  <c r="BU216" i="3"/>
  <c r="BU217" i="3"/>
  <c r="BU218" i="3"/>
  <c r="BU219" i="3"/>
  <c r="BU220" i="3"/>
  <c r="BU221" i="3"/>
  <c r="BU222" i="3"/>
  <c r="BU223" i="3"/>
  <c r="BU224" i="3"/>
  <c r="BU225" i="3"/>
  <c r="BU226" i="3"/>
  <c r="BU227" i="3"/>
  <c r="BU228" i="3"/>
  <c r="BU229" i="3"/>
  <c r="BU230" i="3"/>
  <c r="BU231" i="3"/>
  <c r="BU232" i="3"/>
  <c r="BU233" i="3"/>
  <c r="BU234" i="3"/>
  <c r="BU235" i="3"/>
  <c r="BU236" i="3"/>
  <c r="BU237" i="3"/>
  <c r="BU238" i="3"/>
  <c r="BU239" i="3"/>
  <c r="BU240" i="3"/>
  <c r="BU241" i="3"/>
  <c r="BU4" i="3"/>
  <c r="BT1" i="3"/>
  <c r="BS1" i="3"/>
  <c r="BR1" i="3"/>
  <c r="BQ1" i="3"/>
  <c r="BP1" i="3"/>
  <c r="AS1" i="3"/>
  <c r="AT1" i="3"/>
  <c r="AU1" i="3"/>
  <c r="AV1" i="3"/>
  <c r="AW1" i="3"/>
  <c r="AX1" i="3"/>
  <c r="AY1" i="3"/>
  <c r="AZ1" i="3"/>
  <c r="BA1" i="3"/>
  <c r="BB1" i="3"/>
  <c r="BC1" i="3"/>
  <c r="BD1" i="3"/>
  <c r="BE1" i="3"/>
  <c r="BF1" i="3"/>
  <c r="BG1" i="3"/>
  <c r="BH1" i="3"/>
  <c r="BI1" i="3"/>
  <c r="BJ1" i="3"/>
  <c r="BK1" i="3"/>
  <c r="BL1" i="3"/>
  <c r="BM1" i="3"/>
  <c r="BN1" i="3"/>
  <c r="BO1" i="3"/>
  <c r="AR1" i="3"/>
  <c r="AP1" i="2" l="1"/>
  <c r="BU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Tainá Cristina Ramos</author>
  </authors>
  <commentList>
    <comment ref="H515" authorId="0" shapeId="0" xr:uid="{327F2E42-9EF8-4C08-9432-26BE57E743E2}">
      <text>
        <r>
          <rPr>
            <b/>
            <sz val="9"/>
            <color indexed="81"/>
            <rFont val="Segoe UI"/>
            <family val="2"/>
          </rPr>
          <t xml:space="preserve">PO Controladoria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516" authorId="0" shapeId="0" xr:uid="{ED5FE9B1-2158-480B-A59A-BE0B41857D20}">
      <text>
        <r>
          <rPr>
            <b/>
            <sz val="9"/>
            <color indexed="81"/>
            <rFont val="Segoe UI"/>
            <family val="2"/>
          </rPr>
          <t xml:space="preserve">PO Controladoria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517" authorId="0" shapeId="0" xr:uid="{C339FBE8-4868-47CE-A763-8E0F2DA12D19}">
      <text>
        <r>
          <rPr>
            <b/>
            <sz val="9"/>
            <color indexed="81"/>
            <rFont val="Segoe UI"/>
            <family val="2"/>
          </rPr>
          <t xml:space="preserve">PO Controladoria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518" authorId="0" shapeId="0" xr:uid="{73D5AEDC-FB72-4649-83B5-B5097AFF2AE5}">
      <text>
        <r>
          <rPr>
            <b/>
            <sz val="9"/>
            <color indexed="81"/>
            <rFont val="Segoe UI"/>
            <family val="2"/>
          </rPr>
          <t xml:space="preserve">PO Controladoria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519" authorId="0" shapeId="0" xr:uid="{98DC32CB-760A-4E7C-9F93-297640C811BF}">
      <text>
        <r>
          <rPr>
            <b/>
            <sz val="9"/>
            <color indexed="81"/>
            <rFont val="Segoe UI"/>
            <family val="2"/>
          </rPr>
          <t xml:space="preserve">PO Controladoria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520" authorId="0" shapeId="0" xr:uid="{A5BC4668-52E8-4E2E-A19F-B82D11C6A662}">
      <text>
        <r>
          <rPr>
            <b/>
            <sz val="9"/>
            <color indexed="81"/>
            <rFont val="Segoe UI"/>
            <family val="2"/>
          </rPr>
          <t xml:space="preserve">PO Controladoria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521" authorId="0" shapeId="0" xr:uid="{177C5921-CDBF-44D6-ABEB-B501BDD6C8F8}">
      <text>
        <r>
          <rPr>
            <b/>
            <sz val="9"/>
            <color indexed="81"/>
            <rFont val="Segoe UI"/>
            <family val="2"/>
          </rPr>
          <t xml:space="preserve">PO Controladoria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522" authorId="0" shapeId="0" xr:uid="{2B871021-3B78-475D-B164-BF881C325ED5}">
      <text>
        <r>
          <rPr>
            <b/>
            <sz val="9"/>
            <color indexed="81"/>
            <rFont val="Segoe UI"/>
            <family val="2"/>
          </rPr>
          <t xml:space="preserve">PO Controladoria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523" authorId="0" shapeId="0" xr:uid="{5CCF7125-8EAF-4AE9-87EE-AE41E22308BB}">
      <text>
        <r>
          <rPr>
            <b/>
            <sz val="9"/>
            <color indexed="81"/>
            <rFont val="Segoe UI"/>
            <family val="2"/>
          </rPr>
          <t xml:space="preserve">PO Controladoria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524" authorId="0" shapeId="0" xr:uid="{DB0D54EB-4270-46D7-A9B1-0E34EA584BBE}">
      <text>
        <r>
          <rPr>
            <b/>
            <sz val="9"/>
            <color indexed="81"/>
            <rFont val="Segoe UI"/>
            <family val="2"/>
          </rPr>
          <t xml:space="preserve">PO Controladoria
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<sst xmlns="http://schemas.openxmlformats.org/spreadsheetml/2006/main" count="8448" uniqueCount="317">
  <si>
    <t>EMPRESA</t>
  </si>
  <si>
    <t>ENTIDADE</t>
  </si>
  <si>
    <t>TP</t>
  </si>
  <si>
    <t>DESCRIÇÃO TP</t>
  </si>
  <si>
    <t>OBJETIVO</t>
  </si>
  <si>
    <t>SUBOBJETIVO</t>
  </si>
  <si>
    <t>SubObjetivo 2</t>
  </si>
  <si>
    <t>PROGRAMA ORÇAMENTÁRIO</t>
  </si>
  <si>
    <t>CLASSE</t>
  </si>
  <si>
    <t>UNIDADE</t>
  </si>
  <si>
    <t>CÓDIGO DO PROJETO</t>
  </si>
  <si>
    <t>DESCR. OBRA / PROJETO / EQUIPAMENTO</t>
  </si>
  <si>
    <t>2026</t>
  </si>
  <si>
    <t>2027</t>
  </si>
  <si>
    <t>2028</t>
  </si>
  <si>
    <t>2029</t>
  </si>
  <si>
    <t>2030</t>
  </si>
  <si>
    <t>C001</t>
  </si>
  <si>
    <t>E</t>
  </si>
  <si>
    <t>79</t>
  </si>
  <si>
    <t>Informática - Software</t>
  </si>
  <si>
    <t>9. - Informatica e Sistemas Corporativos</t>
  </si>
  <si>
    <t>9.1 - Informática - Software</t>
  </si>
  <si>
    <t>-</t>
  </si>
  <si>
    <t>C001104379</t>
  </si>
  <si>
    <t xml:space="preserve">Manutenção do Portfolio - Aplicação </t>
  </si>
  <si>
    <t>FFC004</t>
  </si>
  <si>
    <t>Reforma Tributária</t>
  </si>
  <si>
    <t>D001</t>
  </si>
  <si>
    <t>D001104379</t>
  </si>
  <si>
    <t>D002</t>
  </si>
  <si>
    <t>D002104379</t>
  </si>
  <si>
    <t>D006</t>
  </si>
  <si>
    <t>D006104379</t>
  </si>
  <si>
    <t>D009</t>
  </si>
  <si>
    <t>D009104379</t>
  </si>
  <si>
    <t>F001</t>
  </si>
  <si>
    <t>F001104379</t>
  </si>
  <si>
    <t>H005</t>
  </si>
  <si>
    <t>H005104379</t>
  </si>
  <si>
    <t>S001</t>
  </si>
  <si>
    <t>S001104379</t>
  </si>
  <si>
    <t>T006</t>
  </si>
  <si>
    <t>T006104379</t>
  </si>
  <si>
    <t>EEI072</t>
  </si>
  <si>
    <t>Chatbot CPFL + IA</t>
  </si>
  <si>
    <t>EEI068 - Nova Solicitação 2026</t>
  </si>
  <si>
    <t>Migração das Interfaces</t>
  </si>
  <si>
    <t>EEI067</t>
  </si>
  <si>
    <t>Migração Power Center</t>
  </si>
  <si>
    <t>Nova solicitação</t>
  </si>
  <si>
    <t>Projeto IA Generativa</t>
  </si>
  <si>
    <t>EEI061 - Nova Solicitação 2026</t>
  </si>
  <si>
    <t>Projeto Mega Lake</t>
  </si>
  <si>
    <t>EEI062 - Nova Solicitação 2026</t>
  </si>
  <si>
    <t>Otimização Landscape</t>
  </si>
  <si>
    <t>Virtual 6</t>
  </si>
  <si>
    <t>Virtual - Modernização de Aplicação</t>
  </si>
  <si>
    <t>S002</t>
  </si>
  <si>
    <t>S002104379</t>
  </si>
  <si>
    <t>Virtual 7</t>
  </si>
  <si>
    <t>Virtual - Plataforma</t>
  </si>
  <si>
    <t>2G</t>
  </si>
  <si>
    <t>Informática - PIC</t>
  </si>
  <si>
    <t>9.6 - Informática - PIC</t>
  </si>
  <si>
    <t>D00110432G</t>
  </si>
  <si>
    <t>PIC</t>
  </si>
  <si>
    <t>RDR001</t>
  </si>
  <si>
    <t>APK</t>
  </si>
  <si>
    <t>D00210432G</t>
  </si>
  <si>
    <t>D00610432G</t>
  </si>
  <si>
    <t>D00910432G</t>
  </si>
  <si>
    <t>EEI029</t>
  </si>
  <si>
    <t>Arq. Fase 2</t>
  </si>
  <si>
    <t>RRC033</t>
  </si>
  <si>
    <t>GD - Geração Distribuída</t>
  </si>
  <si>
    <t>HW para Manutenção de Portfolio Infraestrutura</t>
  </si>
  <si>
    <t>RRC060</t>
  </si>
  <si>
    <t>Padronização das UC’s</t>
  </si>
  <si>
    <t>RRC052</t>
  </si>
  <si>
    <t>Projeto Caixa Blindada</t>
  </si>
  <si>
    <t>RRC055</t>
  </si>
  <si>
    <t>Projeto Grupo A</t>
  </si>
  <si>
    <t>RRO025</t>
  </si>
  <si>
    <t>Mobilidade da Subtransmissão</t>
  </si>
  <si>
    <t>RDR003</t>
  </si>
  <si>
    <t>Reestruturação EAs OC da RGE</t>
  </si>
  <si>
    <t>Licenças</t>
  </si>
  <si>
    <t>LC-EEI0024</t>
  </si>
  <si>
    <t>CYME</t>
  </si>
  <si>
    <t>LC-RRO022</t>
  </si>
  <si>
    <t>Licenças Autocad</t>
  </si>
  <si>
    <t>S003</t>
  </si>
  <si>
    <t>S003104379</t>
  </si>
  <si>
    <t>LC-EEI0022</t>
  </si>
  <si>
    <t>Licenças Office</t>
  </si>
  <si>
    <t>I001</t>
  </si>
  <si>
    <t>I001104379</t>
  </si>
  <si>
    <t>S004</t>
  </si>
  <si>
    <t>S004104379</t>
  </si>
  <si>
    <t>S009</t>
  </si>
  <si>
    <t>S009104379</t>
  </si>
  <si>
    <t>Virtual 5</t>
  </si>
  <si>
    <t>Virtual - Projetos</t>
  </si>
  <si>
    <t>RRO030</t>
  </si>
  <si>
    <t>Aviso de Agendamento</t>
  </si>
  <si>
    <t>SW-RRC003</t>
  </si>
  <si>
    <t>Cap. Demandas: Sist. Técnicos</t>
  </si>
  <si>
    <t>Criação do CDC - Change Data Capture</t>
  </si>
  <si>
    <t>LC-EEI021</t>
  </si>
  <si>
    <t>Licença GISD</t>
  </si>
  <si>
    <t>Modernização infra ADMS evolução da aplicação</t>
  </si>
  <si>
    <t>2F</t>
  </si>
  <si>
    <t>Informática - Programa/Investimento com contrapartida</t>
  </si>
  <si>
    <t>9.5 - Informática - Programa/Investimento com contrapartida</t>
  </si>
  <si>
    <t>D00110432F</t>
  </si>
  <si>
    <t>Investimento com Contrapartida</t>
  </si>
  <si>
    <t>RRE021</t>
  </si>
  <si>
    <t>Tele B</t>
  </si>
  <si>
    <t>Mitigação de Risco</t>
  </si>
  <si>
    <t>EEI021</t>
  </si>
  <si>
    <t>Upgrade GIS-D</t>
  </si>
  <si>
    <t>RRC059</t>
  </si>
  <si>
    <t>BT-Zero</t>
  </si>
  <si>
    <t>D00210432F</t>
  </si>
  <si>
    <t>D00610432F</t>
  </si>
  <si>
    <t>D00910432F</t>
  </si>
  <si>
    <t>Modernização do SGDO</t>
  </si>
  <si>
    <t>T00610432G</t>
  </si>
  <si>
    <t>Novos PICs 2024</t>
  </si>
  <si>
    <t>RR-T006-019</t>
  </si>
  <si>
    <t>Comunicação crítica p/ CO</t>
  </si>
  <si>
    <t>Evolução arquitetura do SAGE</t>
  </si>
  <si>
    <t>LC-T006-02</t>
  </si>
  <si>
    <t>Licenças SAGE VISBASE</t>
  </si>
  <si>
    <t>Modernização Spir</t>
  </si>
  <si>
    <t>SINAPE (Distribuídoras)- Análise de Perturbações em Sistemas Elétricos de Potência </t>
  </si>
  <si>
    <t>SINAPE (CPFL-T) Análise de Perturbações em Sistemas Elétricos de Potência </t>
  </si>
  <si>
    <t>Compra 25 lincenças perpétua Rocket Exceed TurboX para acesso IHM SAGE</t>
  </si>
  <si>
    <t>2E</t>
  </si>
  <si>
    <t>Informática - Cybersecurity</t>
  </si>
  <si>
    <t>9.4 - Informática - Cybersecurity</t>
  </si>
  <si>
    <t>C00110432E</t>
  </si>
  <si>
    <t>Cybersecurity</t>
  </si>
  <si>
    <t>Atualização GRC 12 II</t>
  </si>
  <si>
    <t>D00110432E</t>
  </si>
  <si>
    <t>D00210432E</t>
  </si>
  <si>
    <t>D00610432E</t>
  </si>
  <si>
    <t>D00910432E</t>
  </si>
  <si>
    <t>F00110432E</t>
  </si>
  <si>
    <t>G001</t>
  </si>
  <si>
    <t>G00110432E</t>
  </si>
  <si>
    <t>H001</t>
  </si>
  <si>
    <t>H00110432E</t>
  </si>
  <si>
    <t>H00510432E</t>
  </si>
  <si>
    <t>I00110432E</t>
  </si>
  <si>
    <t>S00110432E</t>
  </si>
  <si>
    <t>S00210432E</t>
  </si>
  <si>
    <t>S00310432E</t>
  </si>
  <si>
    <t>S00410432E</t>
  </si>
  <si>
    <t>S00910432E</t>
  </si>
  <si>
    <t>S010</t>
  </si>
  <si>
    <t>S01010432E</t>
  </si>
  <si>
    <t>S011</t>
  </si>
  <si>
    <t>S01110432E</t>
  </si>
  <si>
    <t>T00610432E</t>
  </si>
  <si>
    <t>Segurança EI - IDM | Fase IV</t>
  </si>
  <si>
    <t>G005</t>
  </si>
  <si>
    <t>G00510432E</t>
  </si>
  <si>
    <t>Patch Management - OT</t>
  </si>
  <si>
    <t>Scan USB OT</t>
  </si>
  <si>
    <t>ZTNA</t>
  </si>
  <si>
    <t>Firewall (Checkpoint) - VPN</t>
  </si>
  <si>
    <t>Programa de Anti-Fraude | Ferramenta</t>
  </si>
  <si>
    <t>SG-EEI056</t>
  </si>
  <si>
    <t>Firewall BORDA</t>
  </si>
  <si>
    <t>Licenciamento Embaralhamento de dados</t>
  </si>
  <si>
    <t>Virtual 4</t>
  </si>
  <si>
    <t>Virtual - Segurança da Informação</t>
  </si>
  <si>
    <t>Software para Infraestrutura</t>
  </si>
  <si>
    <t>LC-EEI027</t>
  </si>
  <si>
    <t>Licenciamento MS</t>
  </si>
  <si>
    <t>SW-EEI021</t>
  </si>
  <si>
    <t>Oracle ULA</t>
  </si>
  <si>
    <t>Virtual 2</t>
  </si>
  <si>
    <t>Virtual - Infraestrutura</t>
  </si>
  <si>
    <t>Backup - Armazenamento e Licenciamento</t>
  </si>
  <si>
    <t>Virtualização - Licenças</t>
  </si>
  <si>
    <t>SW-RRC002</t>
  </si>
  <si>
    <t>Cap.Demandas: Sist. Web</t>
  </si>
  <si>
    <t>FFF008</t>
  </si>
  <si>
    <t xml:space="preserve">Clearsale </t>
  </si>
  <si>
    <t>RRC061</t>
  </si>
  <si>
    <t>Customer Perception</t>
  </si>
  <si>
    <t>EEI075</t>
  </si>
  <si>
    <t>Estruturção Canais Digitais</t>
  </si>
  <si>
    <t>LC-EEI024</t>
  </si>
  <si>
    <t>Licenciamento Automation Anywhere</t>
  </si>
  <si>
    <t>EEI076</t>
  </si>
  <si>
    <t>Melhorias Canais Digitais</t>
  </si>
  <si>
    <t>RRC062</t>
  </si>
  <si>
    <t>Melhorias Portal CPFL</t>
  </si>
  <si>
    <t>EEI074</t>
  </si>
  <si>
    <t>SuperApp</t>
  </si>
  <si>
    <t>S00310432G</t>
  </si>
  <si>
    <t>ESS020</t>
  </si>
  <si>
    <t>Transformação Digital CSC</t>
  </si>
  <si>
    <t>S00910432G</t>
  </si>
  <si>
    <t>S01010432G</t>
  </si>
  <si>
    <t>S01110432G</t>
  </si>
  <si>
    <t>RRC053</t>
  </si>
  <si>
    <t>Parcelamento</t>
  </si>
  <si>
    <t>RRC054</t>
  </si>
  <si>
    <t>Projeto Estruturante Faturamento</t>
  </si>
  <si>
    <t>SW-RRC001</t>
  </si>
  <si>
    <t>Cap. Demandas: Sistema SAP</t>
  </si>
  <si>
    <t>EEI077</t>
  </si>
  <si>
    <t>Hyperscaler</t>
  </si>
  <si>
    <t>SG-EEI052</t>
  </si>
  <si>
    <t>Implantação Ferramenta de Gestão CoE</t>
  </si>
  <si>
    <t>SG-EEI048</t>
  </si>
  <si>
    <t>SG-EEI049</t>
  </si>
  <si>
    <t>SG-EEI045</t>
  </si>
  <si>
    <t>SG-EEI057</t>
  </si>
  <si>
    <t>Licença Ferramenta de Gestao do CoE</t>
  </si>
  <si>
    <t>Licenças Plataforma de Serviços (BTP)</t>
  </si>
  <si>
    <t>Modernização de Aplicação</t>
  </si>
  <si>
    <t>Plataformas de TI</t>
  </si>
  <si>
    <t>Billing Risks</t>
  </si>
  <si>
    <t>C00110432G</t>
  </si>
  <si>
    <t>CNPJ Alphanumeric</t>
  </si>
  <si>
    <t>G00110432G</t>
  </si>
  <si>
    <t>H00510432G</t>
  </si>
  <si>
    <t>S00110432G</t>
  </si>
  <si>
    <t>F00110432G</t>
  </si>
  <si>
    <t>Modernização da Solução de Pós-Operação</t>
  </si>
  <si>
    <t>Regularization under REN1059 (DG), REN1042 and REN1098</t>
  </si>
  <si>
    <t>SFA- Spir Formulário Automação</t>
  </si>
  <si>
    <t>Sistema de Governança Corporativa</t>
  </si>
  <si>
    <t>Smart Migration</t>
  </si>
  <si>
    <t>80</t>
  </si>
  <si>
    <t>Informática - Hardware</t>
  </si>
  <si>
    <t>9.2 - Informática - Hardware</t>
  </si>
  <si>
    <t>H005104380</t>
  </si>
  <si>
    <t>PÇ</t>
  </si>
  <si>
    <t>Outros Hardwares</t>
  </si>
  <si>
    <t>Antena Starlink</t>
  </si>
  <si>
    <t>D001104380</t>
  </si>
  <si>
    <t>HW para Crescimento Vegetativo</t>
  </si>
  <si>
    <t>D002104380</t>
  </si>
  <si>
    <t>D006104380</t>
  </si>
  <si>
    <t>D009104380</t>
  </si>
  <si>
    <t>HW para Cresccimento Vegetativo</t>
  </si>
  <si>
    <t>Desktop Adms</t>
  </si>
  <si>
    <t>C001104380</t>
  </si>
  <si>
    <t>Desktop Corporativo</t>
  </si>
  <si>
    <t>S001104380</t>
  </si>
  <si>
    <t>S004104380</t>
  </si>
  <si>
    <t>T003</t>
  </si>
  <si>
    <t>T003104380</t>
  </si>
  <si>
    <t>T006104380</t>
  </si>
  <si>
    <t>Hall Institucional</t>
  </si>
  <si>
    <t>I001104380</t>
  </si>
  <si>
    <t>Notebook Alta Performance</t>
  </si>
  <si>
    <t>Máquina de alta performance para a Renováveis</t>
  </si>
  <si>
    <t>Monitores 24"</t>
  </si>
  <si>
    <t>Monitor 24"</t>
  </si>
  <si>
    <t>Monitor 34"</t>
  </si>
  <si>
    <t>Monitores 27" Adms</t>
  </si>
  <si>
    <t>Monitores 27" Plasma - Executivos</t>
  </si>
  <si>
    <t>Monitores 27" Plasma</t>
  </si>
  <si>
    <t>Move Data Center DR</t>
  </si>
  <si>
    <t>Network - Usinas</t>
  </si>
  <si>
    <t>Notebook Corporativo</t>
  </si>
  <si>
    <t>S002104380</t>
  </si>
  <si>
    <t>Notebook Executivo</t>
  </si>
  <si>
    <t>Notebook Gerentes</t>
  </si>
  <si>
    <t>Pos - Gestor De Fila</t>
  </si>
  <si>
    <t>Pos - Gestor de Fila</t>
  </si>
  <si>
    <t>Refresh/Obsolência</t>
  </si>
  <si>
    <t>Relógio De Ponto</t>
  </si>
  <si>
    <t>Relógio de Ponto</t>
  </si>
  <si>
    <t>Servidor Intel Rack</t>
  </si>
  <si>
    <t>Smartphone Caterpillar</t>
  </si>
  <si>
    <t>Smartphone Catepiler</t>
  </si>
  <si>
    <t>Smartphone Corporativo</t>
  </si>
  <si>
    <t>Smartphones</t>
  </si>
  <si>
    <t/>
  </si>
  <si>
    <t>torage Grande</t>
  </si>
  <si>
    <t>Storage Grande</t>
  </si>
  <si>
    <t>Tablet Corporativo</t>
  </si>
  <si>
    <t>Totens - Hardware</t>
  </si>
  <si>
    <t>Videoconferência - Auditórios e Café Filosófico </t>
  </si>
  <si>
    <t>Videoconferência - Expansão CPFL</t>
  </si>
  <si>
    <t>Videowall (CMT)</t>
  </si>
  <si>
    <t>Videowall (COI RGE)</t>
  </si>
  <si>
    <t>Videowall (COS)</t>
  </si>
  <si>
    <t>Videowall (Sala Conexão / Presidência)</t>
  </si>
  <si>
    <t>Videowall (Sala State Grid)</t>
  </si>
  <si>
    <t>DESCR.  EQUIPAMENTO</t>
  </si>
  <si>
    <t>PREÇO UNITÁRIO - LIVRE</t>
  </si>
  <si>
    <t>PREÇO UNITÁRIO</t>
  </si>
  <si>
    <t>COMENTÁRIO LIVRE</t>
  </si>
  <si>
    <t>QUANTIDADES FÍSICAS - EQUIPAMENTOS</t>
  </si>
  <si>
    <t>VALORES TOTAL - R$</t>
  </si>
  <si>
    <t>TOTAL 2026-2030</t>
  </si>
  <si>
    <t>C00110372G</t>
  </si>
  <si>
    <t>D00110372G</t>
  </si>
  <si>
    <t>D00210372G</t>
  </si>
  <si>
    <t>D00610372G</t>
  </si>
  <si>
    <t>D00910372G</t>
  </si>
  <si>
    <t>F00110372G</t>
  </si>
  <si>
    <t>G00110372G</t>
  </si>
  <si>
    <t>H00510372G</t>
  </si>
  <si>
    <t>S00110372G</t>
  </si>
  <si>
    <t>Valor alocado PO Controladoria devido o envio da nova proposta após consolidação orçamentária, referente aos novos projetos</t>
  </si>
  <si>
    <t>T00610372G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</si>
</sst>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0"/>
      <name val="Arial"/>
      <family val="2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3" fillId="2" borderId="1" xfId="0" applyFont="1" applyFill="1" applyBorder="1" applyAlignment="1" applyProtection="1">
      <alignment horizontal="center" vertical="center"/>
      <protection hidden="1"/>
    </xf>
    <xf numFmtId="17" fontId="5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" fontId="5" fillId="4" borderId="1" xfId="0" applyNumberFormat="1" applyFont="1" applyFill="1" applyBorder="1" applyAlignment="1">
      <alignment horizontal="center" vertical="center"/>
    </xf>
    <xf numFmtId="0" fontId="5" fillId="3" borderId="1" xfId="0" quotePrefix="1" applyFont="1" applyFill="1" applyBorder="1" applyAlignment="1">
      <alignment horizontal="center" vertical="center"/>
    </xf>
    <xf numFmtId="0" fontId="4" fillId="0" borderId="1" xfId="0" applyFont="1" applyBorder="1"/>
    <xf numFmtId="0" fontId="4" fillId="5" borderId="1" xfId="0" applyFont="1" applyFill="1" applyBorder="1"/>
    <xf numFmtId="0" fontId="4" fillId="0" borderId="0" xfId="0" applyFont="1"/>
    <xf numFmtId="4" fontId="4" fillId="0" borderId="1" xfId="0" applyNumberFormat="1" applyFont="1" applyBorder="1"/>
    <xf numFmtId="4" fontId="4" fillId="5" borderId="1" xfId="0" applyNumberFormat="1" applyFont="1" applyFill="1" applyBorder="1"/>
    <xf numFmtId="4" fontId="4" fillId="0" borderId="3" xfId="2" applyNumberFormat="1" applyFont="1" applyFill="1" applyBorder="1" applyProtection="1">
      <protection locked="0"/>
    </xf>
    <xf numFmtId="3" fontId="4" fillId="5" borderId="1" xfId="0" applyNumberFormat="1" applyFont="1" applyFill="1" applyBorder="1"/>
    <xf numFmtId="0" fontId="3" fillId="2" borderId="1" xfId="0" applyFont="1" applyFill="1" applyBorder="1" applyAlignment="1" applyProtection="1">
      <alignment horizontal="left" vertical="center"/>
      <protection hidden="1"/>
    </xf>
    <xf numFmtId="0" fontId="3" fillId="2" borderId="2" xfId="0" applyFont="1" applyFill="1" applyBorder="1" applyAlignment="1" applyProtection="1">
      <alignment horizontal="left" vertical="center"/>
      <protection hidden="1"/>
    </xf>
    <xf numFmtId="43" fontId="2" fillId="0" borderId="0" xfId="1" applyFont="1"/>
    <xf numFmtId="164" fontId="4" fillId="5" borderId="1" xfId="1" applyNumberFormat="1" applyFont="1" applyFill="1" applyBorder="1"/>
    <xf numFmtId="49" fontId="4" fillId="0" borderId="1" xfId="1" quotePrefix="1" applyNumberFormat="1" applyFont="1" applyBorder="1"/>
    <xf numFmtId="49" fontId="4" fillId="0" borderId="1" xfId="1" applyNumberFormat="1" applyFont="1" applyBorder="1"/>
    <xf numFmtId="0" fontId="6" fillId="0" borderId="1" xfId="0" applyFont="1" applyBorder="1"/>
    <xf numFmtId="17" fontId="5" fillId="2" borderId="4" xfId="0" applyNumberFormat="1" applyFont="1" applyFill="1" applyBorder="1" applyAlignment="1">
      <alignment horizontal="center"/>
    </xf>
    <xf numFmtId="17" fontId="5" fillId="2" borderId="5" xfId="0" applyNumberFormat="1" applyFont="1" applyFill="1" applyBorder="1" applyAlignment="1">
      <alignment horizontal="center"/>
    </xf>
    <xf numFmtId="17" fontId="5" fillId="2" borderId="6" xfId="0" applyNumberFormat="1" applyFont="1" applyFill="1" applyBorder="1" applyAlignment="1">
      <alignment horizontal="center"/>
    </xf>
    <xf numFmtId="17" fontId="5" fillId="2" borderId="7" xfId="0" applyNumberFormat="1" applyFont="1" applyFill="1" applyBorder="1" applyAlignment="1">
      <alignment horizontal="center"/>
    </xf>
    <xf numFmtId="17" fontId="5" fillId="4" borderId="2" xfId="0" applyNumberFormat="1" applyFont="1" applyFill="1" applyBorder="1" applyAlignment="1">
      <alignment horizontal="center"/>
    </xf>
    <xf numFmtId="17" fontId="5" fillId="4" borderId="6" xfId="0" applyNumberFormat="1" applyFont="1" applyFill="1" applyBorder="1" applyAlignment="1">
      <alignment horizontal="center"/>
    </xf>
    <xf numFmtId="0" fontId="5" fillId="3" borderId="8" xfId="0" quotePrefix="1" applyFont="1" applyFill="1" applyBorder="1" applyAlignment="1">
      <alignment horizontal="center" vertical="center"/>
    </xf>
    <xf numFmtId="0" fontId="5" fillId="3" borderId="0" xfId="0" quotePrefix="1" applyFont="1" applyFill="1" applyAlignment="1">
      <alignment horizontal="center" vertical="center"/>
    </xf>
    <xf numFmtId="0" fontId="5" fillId="3" borderId="9" xfId="0" quotePrefix="1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A185F-2EB4-4CE5-B610-FCB102889CCC}">
  <dimension ref="A1:AP524"/>
  <sheetViews>
    <sheetView showGridLines="0" tabSelected="1" topLeftCell="E1" zoomScaleNormal="100" workbookViewId="0">
      <pane ySplit="3" topLeftCell="A4" activePane="bottomLeft" state="frozen"/>
      <selection pane="bottomLeft" activeCell="D149" sqref="D149"/>
    </sheetView>
  </sheetViews>
  <sheetFormatPr defaultRowHeight="15" x14ac:dyDescent="0.25"/>
  <cols>
    <col min="1" max="1" width="13.85546875" bestFit="1" customWidth="1"/>
    <col min="2" max="2" width="14.28515625" bestFit="1" customWidth="1"/>
    <col min="3" max="3" width="8.28515625" bestFit="1" customWidth="1"/>
    <col min="4" max="4" width="23" customWidth="1"/>
    <col min="5" max="5" width="29" customWidth="1"/>
    <col min="6" max="6" width="41.5703125" customWidth="1"/>
    <col min="7" max="7" width="16.85546875" bestFit="1" customWidth="1"/>
    <col min="8" max="8" width="29.28515625" bestFit="1" customWidth="1"/>
    <col min="9" max="9" width="32.7109375" bestFit="1" customWidth="1"/>
    <col min="10" max="10" width="13.28515625" bestFit="1" customWidth="1"/>
    <col min="11" max="11" width="24.140625" bestFit="1" customWidth="1"/>
    <col min="12" max="12" width="57.28515625" bestFit="1" customWidth="1"/>
    <col min="13" max="15" width="14.7109375" bestFit="1" customWidth="1"/>
    <col min="16" max="16" width="13.42578125" bestFit="1" customWidth="1"/>
    <col min="17" max="20" width="14.7109375" bestFit="1" customWidth="1"/>
    <col min="21" max="22" width="13.42578125" bestFit="1" customWidth="1"/>
    <col min="23" max="25" width="14.7109375" bestFit="1" customWidth="1"/>
    <col min="26" max="30" width="13.42578125" bestFit="1" customWidth="1"/>
    <col min="31" max="32" width="14.7109375" bestFit="1" customWidth="1"/>
    <col min="33" max="34" width="13.42578125" bestFit="1" customWidth="1"/>
    <col min="35" max="36" width="14.7109375" bestFit="1" customWidth="1"/>
    <col min="37" max="38" width="15.7109375" bestFit="1" customWidth="1"/>
    <col min="39" max="39" width="14.7109375" bestFit="1" customWidth="1"/>
    <col min="40" max="40" width="15" bestFit="1" customWidth="1"/>
    <col min="41" max="41" width="14.7109375" bestFit="1" customWidth="1"/>
    <col min="42" max="42" width="17.140625" bestFit="1" customWidth="1"/>
    <col min="43" max="43" width="12.7109375" bestFit="1" customWidth="1"/>
  </cols>
  <sheetData>
    <row r="1" spans="1:42" x14ac:dyDescent="0.25">
      <c r="M1" s="15">
        <f>SUBTOTAL(9,M4:M524)</f>
        <v>13503554.866028149</v>
      </c>
      <c r="N1" s="15">
        <f t="shared" ref="N1:AP1" si="0">SUBTOTAL(9,N4:N524)</f>
        <v>14008235.770488331</v>
      </c>
      <c r="O1" s="15">
        <f t="shared" si="0"/>
        <v>12817466.007053236</v>
      </c>
      <c r="P1" s="15">
        <f t="shared" si="0"/>
        <v>7672589.2716258261</v>
      </c>
      <c r="Q1" s="15">
        <f t="shared" si="0"/>
        <v>10988422.437779365</v>
      </c>
      <c r="R1" s="15">
        <f t="shared" si="0"/>
        <v>12764244.79994827</v>
      </c>
      <c r="S1" s="15">
        <f t="shared" si="0"/>
        <v>13552662.937626028</v>
      </c>
      <c r="T1" s="15">
        <f t="shared" si="0"/>
        <v>16593387.384244343</v>
      </c>
      <c r="U1" s="15">
        <f t="shared" si="0"/>
        <v>7518310.7349532526</v>
      </c>
      <c r="V1" s="15">
        <f t="shared" si="0"/>
        <v>3523256.4919480435</v>
      </c>
      <c r="W1" s="15">
        <f t="shared" si="0"/>
        <v>16097473.548703827</v>
      </c>
      <c r="X1" s="15">
        <f t="shared" si="0"/>
        <v>36040600.212627716</v>
      </c>
      <c r="Y1" s="15">
        <f t="shared" si="0"/>
        <v>17852081.55892374</v>
      </c>
      <c r="Z1" s="15">
        <f t="shared" si="0"/>
        <v>4681148.6095932974</v>
      </c>
      <c r="AA1" s="15">
        <f t="shared" si="0"/>
        <v>2713677.3951847185</v>
      </c>
      <c r="AB1" s="15">
        <f t="shared" si="0"/>
        <v>2968839.072714841</v>
      </c>
      <c r="AC1" s="15">
        <f t="shared" si="0"/>
        <v>7366877.3730670279</v>
      </c>
      <c r="AD1" s="15">
        <f t="shared" si="0"/>
        <v>2494115.1145157823</v>
      </c>
      <c r="AE1" s="15">
        <f t="shared" si="0"/>
        <v>11004926.260801837</v>
      </c>
      <c r="AF1" s="15">
        <f t="shared" si="0"/>
        <v>18104073.048405346</v>
      </c>
      <c r="AG1" s="15">
        <f t="shared" si="0"/>
        <v>3083710.5835130205</v>
      </c>
      <c r="AH1" s="15">
        <f t="shared" si="0"/>
        <v>3083710.5835130205</v>
      </c>
      <c r="AI1" s="15">
        <f t="shared" si="0"/>
        <v>11981343.711614117</v>
      </c>
      <c r="AJ1" s="15">
        <f t="shared" si="0"/>
        <v>47354276.031473324</v>
      </c>
      <c r="AK1" s="15">
        <f t="shared" si="0"/>
        <v>165080204.46302631</v>
      </c>
      <c r="AL1" s="15">
        <f t="shared" si="0"/>
        <v>132688779.3433201</v>
      </c>
      <c r="AM1" s="15">
        <f t="shared" si="0"/>
        <v>77294313.220484406</v>
      </c>
      <c r="AN1" s="15">
        <f t="shared" si="0"/>
        <v>76589365.924135447</v>
      </c>
      <c r="AO1" s="15">
        <f t="shared" si="0"/>
        <v>59555298.748707749</v>
      </c>
      <c r="AP1" s="15">
        <f t="shared" si="0"/>
        <v>511207961.69967419</v>
      </c>
    </row>
    <row r="2" spans="1:42" x14ac:dyDescent="0.25">
      <c r="M2" s="24" t="s">
        <v>304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6" t="s">
        <v>304</v>
      </c>
      <c r="AL2" s="27"/>
      <c r="AM2" s="27"/>
      <c r="AN2" s="27"/>
      <c r="AO2" s="27"/>
      <c r="AP2" s="28"/>
    </row>
    <row r="3" spans="1:4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4">
        <v>46023</v>
      </c>
      <c r="N3" s="4">
        <v>46054</v>
      </c>
      <c r="O3" s="4">
        <v>46082</v>
      </c>
      <c r="P3" s="4">
        <v>46113</v>
      </c>
      <c r="Q3" s="4">
        <v>46143</v>
      </c>
      <c r="R3" s="4">
        <v>46174</v>
      </c>
      <c r="S3" s="4">
        <v>46204</v>
      </c>
      <c r="T3" s="4">
        <v>46235</v>
      </c>
      <c r="U3" s="4">
        <v>46266</v>
      </c>
      <c r="V3" s="4">
        <v>46296</v>
      </c>
      <c r="W3" s="4">
        <v>46327</v>
      </c>
      <c r="X3" s="4">
        <v>46357</v>
      </c>
      <c r="Y3" s="4">
        <v>46388</v>
      </c>
      <c r="Z3" s="4">
        <v>46419</v>
      </c>
      <c r="AA3" s="4">
        <v>46447</v>
      </c>
      <c r="AB3" s="4">
        <v>46478</v>
      </c>
      <c r="AC3" s="4">
        <v>46508</v>
      </c>
      <c r="AD3" s="4">
        <v>46539</v>
      </c>
      <c r="AE3" s="4">
        <v>46569</v>
      </c>
      <c r="AF3" s="4">
        <v>46600</v>
      </c>
      <c r="AG3" s="4">
        <v>46631</v>
      </c>
      <c r="AH3" s="4">
        <v>46661</v>
      </c>
      <c r="AI3" s="4">
        <v>46692</v>
      </c>
      <c r="AJ3" s="4">
        <v>46722</v>
      </c>
      <c r="AK3" s="5" t="s">
        <v>12</v>
      </c>
      <c r="AL3" s="5" t="s">
        <v>13</v>
      </c>
      <c r="AM3" s="5" t="s">
        <v>14</v>
      </c>
      <c r="AN3" s="5" t="s">
        <v>15</v>
      </c>
      <c r="AO3" s="5" t="s">
        <v>16</v>
      </c>
      <c r="AP3" s="5" t="s">
        <v>305</v>
      </c>
    </row>
    <row r="4" spans="1:42" x14ac:dyDescent="0.25">
      <c r="A4" s="6" t="s">
        <v>17</v>
      </c>
      <c r="B4" s="6" t="s">
        <v>18</v>
      </c>
      <c r="C4" s="6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6" t="s">
        <v>25</v>
      </c>
      <c r="J4" s="6"/>
      <c r="K4" s="6" t="s">
        <v>26</v>
      </c>
      <c r="L4" s="6" t="s">
        <v>27</v>
      </c>
      <c r="M4" s="10">
        <v>235.68604367173424</v>
      </c>
      <c r="N4" s="10">
        <v>4232.7217520008226</v>
      </c>
      <c r="O4" s="10">
        <v>235.68604367173424</v>
      </c>
      <c r="P4" s="10">
        <v>1565.3831284220571</v>
      </c>
      <c r="Q4" s="10">
        <v>235.68604367173424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6505.1630114380841</v>
      </c>
      <c r="AL4" s="10">
        <v>0</v>
      </c>
      <c r="AM4" s="10">
        <v>0</v>
      </c>
      <c r="AN4" s="10">
        <v>0</v>
      </c>
      <c r="AO4" s="10">
        <v>0</v>
      </c>
      <c r="AP4" s="16">
        <f>SUM(AK4:AO4)</f>
        <v>6505.1630114380841</v>
      </c>
    </row>
    <row r="5" spans="1:42" x14ac:dyDescent="0.25">
      <c r="A5" s="6" t="s">
        <v>28</v>
      </c>
      <c r="B5" s="6" t="s">
        <v>18</v>
      </c>
      <c r="C5" s="6" t="s">
        <v>19</v>
      </c>
      <c r="D5" s="7" t="s">
        <v>20</v>
      </c>
      <c r="E5" s="7" t="s">
        <v>21</v>
      </c>
      <c r="F5" s="7" t="s">
        <v>22</v>
      </c>
      <c r="G5" s="7" t="s">
        <v>23</v>
      </c>
      <c r="H5" s="7" t="s">
        <v>29</v>
      </c>
      <c r="I5" s="6" t="s">
        <v>25</v>
      </c>
      <c r="J5" s="6"/>
      <c r="K5" s="6" t="s">
        <v>26</v>
      </c>
      <c r="L5" s="6" t="s">
        <v>27</v>
      </c>
      <c r="M5" s="10">
        <v>155081.41673600112</v>
      </c>
      <c r="N5" s="10">
        <v>2785130.9128165413</v>
      </c>
      <c r="O5" s="10">
        <v>155081.41673600112</v>
      </c>
      <c r="P5" s="10">
        <v>1030022.0985017136</v>
      </c>
      <c r="Q5" s="10">
        <v>155081.41673600112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4280397.2615262587</v>
      </c>
      <c r="AL5" s="10">
        <v>0</v>
      </c>
      <c r="AM5" s="10">
        <v>0</v>
      </c>
      <c r="AN5" s="10">
        <v>0</v>
      </c>
      <c r="AO5" s="10">
        <v>0</v>
      </c>
      <c r="AP5" s="16">
        <f t="shared" ref="AP5:AP68" si="1">SUM(AK5:AO5)</f>
        <v>4280397.2615262587</v>
      </c>
    </row>
    <row r="6" spans="1:42" x14ac:dyDescent="0.25">
      <c r="A6" s="6" t="s">
        <v>30</v>
      </c>
      <c r="B6" s="6" t="s">
        <v>18</v>
      </c>
      <c r="C6" s="6" t="s">
        <v>19</v>
      </c>
      <c r="D6" s="7" t="s">
        <v>20</v>
      </c>
      <c r="E6" s="7" t="s">
        <v>21</v>
      </c>
      <c r="F6" s="7" t="s">
        <v>22</v>
      </c>
      <c r="G6" s="7" t="s">
        <v>23</v>
      </c>
      <c r="H6" s="7" t="s">
        <v>31</v>
      </c>
      <c r="I6" s="6" t="s">
        <v>25</v>
      </c>
      <c r="J6" s="6"/>
      <c r="K6" s="6" t="s">
        <v>26</v>
      </c>
      <c r="L6" s="6" t="s">
        <v>27</v>
      </c>
      <c r="M6" s="10">
        <v>59667.850056227391</v>
      </c>
      <c r="N6" s="10">
        <v>1071584.0568815416</v>
      </c>
      <c r="O6" s="10">
        <v>59667.850056227391</v>
      </c>
      <c r="P6" s="10">
        <v>396302.82867885084</v>
      </c>
      <c r="Q6" s="10">
        <v>59667.850056227391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1646890.435729075</v>
      </c>
      <c r="AL6" s="10">
        <v>0</v>
      </c>
      <c r="AM6" s="10">
        <v>0</v>
      </c>
      <c r="AN6" s="10">
        <v>0</v>
      </c>
      <c r="AO6" s="10">
        <v>0</v>
      </c>
      <c r="AP6" s="16">
        <f t="shared" si="1"/>
        <v>1646890.435729075</v>
      </c>
    </row>
    <row r="7" spans="1:42" x14ac:dyDescent="0.25">
      <c r="A7" s="6" t="s">
        <v>32</v>
      </c>
      <c r="B7" s="6" t="s">
        <v>18</v>
      </c>
      <c r="C7" s="6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 t="s">
        <v>33</v>
      </c>
      <c r="I7" s="6" t="s">
        <v>25</v>
      </c>
      <c r="J7" s="6"/>
      <c r="K7" s="6" t="s">
        <v>26</v>
      </c>
      <c r="L7" s="6" t="s">
        <v>27</v>
      </c>
      <c r="M7" s="10">
        <v>15476.716867777219</v>
      </c>
      <c r="N7" s="10">
        <v>277948.72838138737</v>
      </c>
      <c r="O7" s="10">
        <v>15476.716867777219</v>
      </c>
      <c r="P7" s="10">
        <v>102793.49209971508</v>
      </c>
      <c r="Q7" s="10">
        <v>15476.716867777219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427172.3710844341</v>
      </c>
      <c r="AL7" s="10">
        <v>0</v>
      </c>
      <c r="AM7" s="10">
        <v>0</v>
      </c>
      <c r="AN7" s="10">
        <v>0</v>
      </c>
      <c r="AO7" s="10">
        <v>0</v>
      </c>
      <c r="AP7" s="16">
        <f t="shared" si="1"/>
        <v>427172.3710844341</v>
      </c>
    </row>
    <row r="8" spans="1:42" x14ac:dyDescent="0.25">
      <c r="A8" s="6" t="s">
        <v>34</v>
      </c>
      <c r="B8" s="6" t="s">
        <v>18</v>
      </c>
      <c r="C8" s="6" t="s">
        <v>19</v>
      </c>
      <c r="D8" s="7" t="s">
        <v>20</v>
      </c>
      <c r="E8" s="7" t="s">
        <v>21</v>
      </c>
      <c r="F8" s="7" t="s">
        <v>22</v>
      </c>
      <c r="G8" s="7" t="s">
        <v>23</v>
      </c>
      <c r="H8" s="7" t="s">
        <v>35</v>
      </c>
      <c r="I8" s="6" t="s">
        <v>25</v>
      </c>
      <c r="J8" s="6"/>
      <c r="K8" s="6" t="s">
        <v>26</v>
      </c>
      <c r="L8" s="6" t="s">
        <v>27</v>
      </c>
      <c r="M8" s="10">
        <v>107787.08397253975</v>
      </c>
      <c r="N8" s="10">
        <v>1935764.7479150435</v>
      </c>
      <c r="O8" s="10">
        <v>107787.08397253975</v>
      </c>
      <c r="P8" s="10">
        <v>715901.88406502071</v>
      </c>
      <c r="Q8" s="10">
        <v>107787.08397253975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2975027.8838976831</v>
      </c>
      <c r="AL8" s="10">
        <v>0</v>
      </c>
      <c r="AM8" s="10">
        <v>0</v>
      </c>
      <c r="AN8" s="10">
        <v>0</v>
      </c>
      <c r="AO8" s="10">
        <v>0</v>
      </c>
      <c r="AP8" s="16">
        <f t="shared" si="1"/>
        <v>2975027.8838976831</v>
      </c>
    </row>
    <row r="9" spans="1:42" x14ac:dyDescent="0.25">
      <c r="A9" s="6" t="s">
        <v>36</v>
      </c>
      <c r="B9" s="6" t="s">
        <v>18</v>
      </c>
      <c r="C9" s="6" t="s">
        <v>19</v>
      </c>
      <c r="D9" s="7" t="s">
        <v>20</v>
      </c>
      <c r="E9" s="7" t="s">
        <v>21</v>
      </c>
      <c r="F9" s="7" t="s">
        <v>22</v>
      </c>
      <c r="G9" s="7" t="s">
        <v>23</v>
      </c>
      <c r="H9" s="7" t="s">
        <v>37</v>
      </c>
      <c r="I9" s="6" t="s">
        <v>25</v>
      </c>
      <c r="J9" s="6"/>
      <c r="K9" s="6" t="s">
        <v>26</v>
      </c>
      <c r="L9" s="6" t="s">
        <v>27</v>
      </c>
      <c r="M9" s="10">
        <v>274.96705095035662</v>
      </c>
      <c r="N9" s="10">
        <v>4938.1753773342934</v>
      </c>
      <c r="O9" s="10">
        <v>274.96705095035662</v>
      </c>
      <c r="P9" s="10">
        <v>1826.2803164923998</v>
      </c>
      <c r="Q9" s="10">
        <v>274.96705095035662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7589.3568466777624</v>
      </c>
      <c r="AL9" s="10">
        <v>0</v>
      </c>
      <c r="AM9" s="10">
        <v>0</v>
      </c>
      <c r="AN9" s="10">
        <v>0</v>
      </c>
      <c r="AO9" s="10">
        <v>0</v>
      </c>
      <c r="AP9" s="16">
        <f t="shared" si="1"/>
        <v>7589.3568466777624</v>
      </c>
    </row>
    <row r="10" spans="1:42" x14ac:dyDescent="0.25">
      <c r="A10" s="6" t="s">
        <v>38</v>
      </c>
      <c r="B10" s="6" t="s">
        <v>18</v>
      </c>
      <c r="C10" s="6" t="s">
        <v>19</v>
      </c>
      <c r="D10" s="7" t="s">
        <v>20</v>
      </c>
      <c r="E10" s="7" t="s">
        <v>21</v>
      </c>
      <c r="F10" s="7" t="s">
        <v>22</v>
      </c>
      <c r="G10" s="7" t="s">
        <v>23</v>
      </c>
      <c r="H10" s="7" t="s">
        <v>39</v>
      </c>
      <c r="I10" s="6" t="s">
        <v>25</v>
      </c>
      <c r="J10" s="6"/>
      <c r="K10" s="6" t="s">
        <v>26</v>
      </c>
      <c r="L10" s="6" t="s">
        <v>27</v>
      </c>
      <c r="M10" s="10">
        <v>36845.584827347782</v>
      </c>
      <c r="N10" s="10">
        <v>661715.50056279532</v>
      </c>
      <c r="O10" s="10">
        <v>36845.584827347782</v>
      </c>
      <c r="P10" s="10">
        <v>244721.56240998159</v>
      </c>
      <c r="Q10" s="10">
        <v>36845.584827347782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1016973.8174548204</v>
      </c>
      <c r="AL10" s="10">
        <v>0</v>
      </c>
      <c r="AM10" s="10">
        <v>0</v>
      </c>
      <c r="AN10" s="10">
        <v>0</v>
      </c>
      <c r="AO10" s="10">
        <v>0</v>
      </c>
      <c r="AP10" s="16">
        <f t="shared" si="1"/>
        <v>1016973.8174548204</v>
      </c>
    </row>
    <row r="11" spans="1:42" x14ac:dyDescent="0.25">
      <c r="A11" s="6" t="s">
        <v>40</v>
      </c>
      <c r="B11" s="6" t="s">
        <v>18</v>
      </c>
      <c r="C11" s="6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41</v>
      </c>
      <c r="I11" s="6" t="s">
        <v>25</v>
      </c>
      <c r="J11" s="6"/>
      <c r="K11" s="6" t="s">
        <v>26</v>
      </c>
      <c r="L11" s="6" t="s">
        <v>27</v>
      </c>
      <c r="M11" s="10">
        <v>2749.6705095035663</v>
      </c>
      <c r="N11" s="10">
        <v>49381.753773342927</v>
      </c>
      <c r="O11" s="10">
        <v>2749.6705095035663</v>
      </c>
      <c r="P11" s="10">
        <v>18262.803164924</v>
      </c>
      <c r="Q11" s="10">
        <v>2749.6705095035663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75893.568466777622</v>
      </c>
      <c r="AL11" s="10">
        <v>0</v>
      </c>
      <c r="AM11" s="10">
        <v>0</v>
      </c>
      <c r="AN11" s="10">
        <v>0</v>
      </c>
      <c r="AO11" s="10">
        <v>0</v>
      </c>
      <c r="AP11" s="16">
        <f t="shared" si="1"/>
        <v>75893.568466777622</v>
      </c>
    </row>
    <row r="12" spans="1:42" x14ac:dyDescent="0.25">
      <c r="A12" s="6" t="s">
        <v>42</v>
      </c>
      <c r="B12" s="6" t="s">
        <v>18</v>
      </c>
      <c r="C12" s="6" t="s">
        <v>19</v>
      </c>
      <c r="D12" s="7" t="s">
        <v>20</v>
      </c>
      <c r="E12" s="7" t="s">
        <v>21</v>
      </c>
      <c r="F12" s="7" t="s">
        <v>22</v>
      </c>
      <c r="G12" s="7" t="s">
        <v>23</v>
      </c>
      <c r="H12" s="7" t="s">
        <v>43</v>
      </c>
      <c r="I12" s="6" t="s">
        <v>25</v>
      </c>
      <c r="J12" s="6"/>
      <c r="K12" s="6" t="s">
        <v>26</v>
      </c>
      <c r="L12" s="6" t="s">
        <v>27</v>
      </c>
      <c r="M12" s="10">
        <v>14691.096722204769</v>
      </c>
      <c r="N12" s="10">
        <v>263839.65587471792</v>
      </c>
      <c r="O12" s="10">
        <v>14691.096722204769</v>
      </c>
      <c r="P12" s="10">
        <v>97575.548338308217</v>
      </c>
      <c r="Q12" s="10">
        <v>14691.096722204769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405488.49437964044</v>
      </c>
      <c r="AL12" s="10">
        <v>0</v>
      </c>
      <c r="AM12" s="10">
        <v>0</v>
      </c>
      <c r="AN12" s="10">
        <v>0</v>
      </c>
      <c r="AO12" s="10">
        <v>0</v>
      </c>
      <c r="AP12" s="16">
        <f t="shared" si="1"/>
        <v>405488.49437964044</v>
      </c>
    </row>
    <row r="13" spans="1:42" x14ac:dyDescent="0.25">
      <c r="A13" s="6" t="s">
        <v>17</v>
      </c>
      <c r="B13" s="6" t="s">
        <v>18</v>
      </c>
      <c r="C13" s="6" t="s">
        <v>19</v>
      </c>
      <c r="D13" s="7" t="s">
        <v>20</v>
      </c>
      <c r="E13" s="7" t="s">
        <v>21</v>
      </c>
      <c r="F13" s="7" t="s">
        <v>22</v>
      </c>
      <c r="G13" s="7" t="s">
        <v>23</v>
      </c>
      <c r="H13" s="7" t="s">
        <v>24</v>
      </c>
      <c r="I13" s="6" t="s">
        <v>25</v>
      </c>
      <c r="J13" s="6"/>
      <c r="K13" s="6" t="s">
        <v>44</v>
      </c>
      <c r="L13" s="6" t="s">
        <v>45</v>
      </c>
      <c r="M13" s="10">
        <v>76.060388585549404</v>
      </c>
      <c r="N13" s="10">
        <v>76.060388585549404</v>
      </c>
      <c r="O13" s="10">
        <v>76.060388585549404</v>
      </c>
      <c r="P13" s="10">
        <v>76.060388585549404</v>
      </c>
      <c r="Q13" s="10">
        <v>76.060388585549404</v>
      </c>
      <c r="R13" s="10">
        <v>76.060388585549404</v>
      </c>
      <c r="S13" s="10">
        <v>76.060388585549404</v>
      </c>
      <c r="T13" s="10">
        <v>76.060388585549404</v>
      </c>
      <c r="U13" s="10">
        <v>76.060388585549404</v>
      </c>
      <c r="V13" s="10">
        <v>76.060388585549404</v>
      </c>
      <c r="W13" s="10">
        <v>76.060388585549404</v>
      </c>
      <c r="X13" s="10">
        <v>76.060388585549404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912.72466302659302</v>
      </c>
      <c r="AL13" s="10">
        <v>0</v>
      </c>
      <c r="AM13" s="10">
        <v>0</v>
      </c>
      <c r="AN13" s="10">
        <v>0</v>
      </c>
      <c r="AO13" s="10">
        <v>0</v>
      </c>
      <c r="AP13" s="16">
        <f t="shared" si="1"/>
        <v>912.72466302659302</v>
      </c>
    </row>
    <row r="14" spans="1:42" x14ac:dyDescent="0.25">
      <c r="A14" s="6" t="s">
        <v>28</v>
      </c>
      <c r="B14" s="6" t="s">
        <v>18</v>
      </c>
      <c r="C14" s="6" t="s">
        <v>19</v>
      </c>
      <c r="D14" s="7" t="s">
        <v>20</v>
      </c>
      <c r="E14" s="7" t="s">
        <v>21</v>
      </c>
      <c r="F14" s="7" t="s">
        <v>22</v>
      </c>
      <c r="G14" s="7" t="s">
        <v>23</v>
      </c>
      <c r="H14" s="7" t="s">
        <v>29</v>
      </c>
      <c r="I14" s="6" t="s">
        <v>25</v>
      </c>
      <c r="J14" s="6"/>
      <c r="K14" s="6" t="s">
        <v>44</v>
      </c>
      <c r="L14" s="6" t="s">
        <v>45</v>
      </c>
      <c r="M14" s="10">
        <v>24162.688074755602</v>
      </c>
      <c r="N14" s="10">
        <v>24162.688074755602</v>
      </c>
      <c r="O14" s="10">
        <v>24162.688074755602</v>
      </c>
      <c r="P14" s="10">
        <v>24162.688074755602</v>
      </c>
      <c r="Q14" s="10">
        <v>24162.688074755602</v>
      </c>
      <c r="R14" s="10">
        <v>24162.688074755602</v>
      </c>
      <c r="S14" s="10">
        <v>24162.688074755602</v>
      </c>
      <c r="T14" s="10">
        <v>24162.688074755602</v>
      </c>
      <c r="U14" s="10">
        <v>24162.688074755602</v>
      </c>
      <c r="V14" s="10">
        <v>24162.688074755602</v>
      </c>
      <c r="W14" s="10">
        <v>24162.688074755602</v>
      </c>
      <c r="X14" s="10">
        <v>24162.688074755602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289952.25689706724</v>
      </c>
      <c r="AL14" s="10">
        <v>0</v>
      </c>
      <c r="AM14" s="10">
        <v>0</v>
      </c>
      <c r="AN14" s="10">
        <v>0</v>
      </c>
      <c r="AO14" s="10">
        <v>0</v>
      </c>
      <c r="AP14" s="16">
        <f t="shared" si="1"/>
        <v>289952.25689706724</v>
      </c>
    </row>
    <row r="15" spans="1:42" x14ac:dyDescent="0.25">
      <c r="A15" s="6" t="s">
        <v>30</v>
      </c>
      <c r="B15" s="6" t="s">
        <v>18</v>
      </c>
      <c r="C15" s="6" t="s">
        <v>19</v>
      </c>
      <c r="D15" s="7" t="s">
        <v>20</v>
      </c>
      <c r="E15" s="7" t="s">
        <v>21</v>
      </c>
      <c r="F15" s="7" t="s">
        <v>22</v>
      </c>
      <c r="G15" s="7" t="s">
        <v>23</v>
      </c>
      <c r="H15" s="7" t="s">
        <v>31</v>
      </c>
      <c r="I15" s="6" t="s">
        <v>25</v>
      </c>
      <c r="J15" s="6"/>
      <c r="K15" s="6" t="s">
        <v>44</v>
      </c>
      <c r="L15" s="6" t="s">
        <v>45</v>
      </c>
      <c r="M15" s="10">
        <v>9662.8859575593506</v>
      </c>
      <c r="N15" s="10">
        <v>9662.8859575593506</v>
      </c>
      <c r="O15" s="10">
        <v>9662.8859575593506</v>
      </c>
      <c r="P15" s="10">
        <v>9662.8859575593506</v>
      </c>
      <c r="Q15" s="10">
        <v>9662.8859575593506</v>
      </c>
      <c r="R15" s="10">
        <v>9662.8859575593506</v>
      </c>
      <c r="S15" s="10">
        <v>9662.8859575593506</v>
      </c>
      <c r="T15" s="10">
        <v>9662.8859575593506</v>
      </c>
      <c r="U15" s="10">
        <v>9662.8859575593506</v>
      </c>
      <c r="V15" s="10">
        <v>9662.8859575593506</v>
      </c>
      <c r="W15" s="10">
        <v>9662.8859575593506</v>
      </c>
      <c r="X15" s="10">
        <v>9662.8859575593506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115954.63149071217</v>
      </c>
      <c r="AL15" s="10">
        <v>0</v>
      </c>
      <c r="AM15" s="10">
        <v>0</v>
      </c>
      <c r="AN15" s="10">
        <v>0</v>
      </c>
      <c r="AO15" s="10">
        <v>0</v>
      </c>
      <c r="AP15" s="16">
        <f t="shared" si="1"/>
        <v>115954.63149071217</v>
      </c>
    </row>
    <row r="16" spans="1:42" x14ac:dyDescent="0.25">
      <c r="A16" s="6" t="s">
        <v>32</v>
      </c>
      <c r="B16" s="6" t="s">
        <v>18</v>
      </c>
      <c r="C16" s="6" t="s">
        <v>19</v>
      </c>
      <c r="D16" s="7" t="s">
        <v>20</v>
      </c>
      <c r="E16" s="7" t="s">
        <v>21</v>
      </c>
      <c r="F16" s="7" t="s">
        <v>22</v>
      </c>
      <c r="G16" s="7" t="s">
        <v>23</v>
      </c>
      <c r="H16" s="7" t="s">
        <v>33</v>
      </c>
      <c r="I16" s="6" t="s">
        <v>25</v>
      </c>
      <c r="J16" s="6"/>
      <c r="K16" s="6" t="s">
        <v>44</v>
      </c>
      <c r="L16" s="6" t="s">
        <v>45</v>
      </c>
      <c r="M16" s="10">
        <v>2191.8852176590908</v>
      </c>
      <c r="N16" s="10">
        <v>2191.8852176590908</v>
      </c>
      <c r="O16" s="10">
        <v>2191.8852176590908</v>
      </c>
      <c r="P16" s="10">
        <v>2191.8852176590908</v>
      </c>
      <c r="Q16" s="10">
        <v>2191.8852176590908</v>
      </c>
      <c r="R16" s="10">
        <v>2191.8852176590908</v>
      </c>
      <c r="S16" s="10">
        <v>2191.8852176590908</v>
      </c>
      <c r="T16" s="10">
        <v>2191.8852176590908</v>
      </c>
      <c r="U16" s="10">
        <v>2191.8852176590908</v>
      </c>
      <c r="V16" s="10">
        <v>2191.8852176590908</v>
      </c>
      <c r="W16" s="10">
        <v>2191.8852176590908</v>
      </c>
      <c r="X16" s="10">
        <v>2191.8852176590908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26302.62261190909</v>
      </c>
      <c r="AL16" s="10">
        <v>0</v>
      </c>
      <c r="AM16" s="10">
        <v>0</v>
      </c>
      <c r="AN16" s="10">
        <v>0</v>
      </c>
      <c r="AO16" s="10">
        <v>0</v>
      </c>
      <c r="AP16" s="16">
        <f t="shared" si="1"/>
        <v>26302.62261190909</v>
      </c>
    </row>
    <row r="17" spans="1:42" x14ac:dyDescent="0.25">
      <c r="A17" s="6" t="s">
        <v>34</v>
      </c>
      <c r="B17" s="6" t="s">
        <v>18</v>
      </c>
      <c r="C17" s="6" t="s">
        <v>19</v>
      </c>
      <c r="D17" s="7" t="s">
        <v>20</v>
      </c>
      <c r="E17" s="7" t="s">
        <v>21</v>
      </c>
      <c r="F17" s="7" t="s">
        <v>22</v>
      </c>
      <c r="G17" s="7" t="s">
        <v>23</v>
      </c>
      <c r="H17" s="7" t="s">
        <v>35</v>
      </c>
      <c r="I17" s="6" t="s">
        <v>25</v>
      </c>
      <c r="J17" s="6"/>
      <c r="K17" s="6" t="s">
        <v>44</v>
      </c>
      <c r="L17" s="6" t="s">
        <v>45</v>
      </c>
      <c r="M17" s="10">
        <v>19274.009282418316</v>
      </c>
      <c r="N17" s="10">
        <v>19274.009282418316</v>
      </c>
      <c r="O17" s="10">
        <v>19274.009282418316</v>
      </c>
      <c r="P17" s="10">
        <v>19274.009282418316</v>
      </c>
      <c r="Q17" s="10">
        <v>19274.009282418316</v>
      </c>
      <c r="R17" s="10">
        <v>19274.009282418316</v>
      </c>
      <c r="S17" s="10">
        <v>19274.009282418316</v>
      </c>
      <c r="T17" s="10">
        <v>19274.009282418316</v>
      </c>
      <c r="U17" s="10">
        <v>19274.009282418316</v>
      </c>
      <c r="V17" s="10">
        <v>19274.009282418316</v>
      </c>
      <c r="W17" s="10">
        <v>19274.009282418316</v>
      </c>
      <c r="X17" s="10">
        <v>19274.009282418316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231288.11138901985</v>
      </c>
      <c r="AL17" s="10">
        <v>0</v>
      </c>
      <c r="AM17" s="10">
        <v>0</v>
      </c>
      <c r="AN17" s="10">
        <v>0</v>
      </c>
      <c r="AO17" s="10">
        <v>0</v>
      </c>
      <c r="AP17" s="16">
        <f t="shared" si="1"/>
        <v>231288.11138901985</v>
      </c>
    </row>
    <row r="18" spans="1:42" x14ac:dyDescent="0.25">
      <c r="A18" s="6" t="s">
        <v>38</v>
      </c>
      <c r="B18" s="6" t="s">
        <v>18</v>
      </c>
      <c r="C18" s="6" t="s">
        <v>19</v>
      </c>
      <c r="D18" s="7" t="s">
        <v>20</v>
      </c>
      <c r="E18" s="7" t="s">
        <v>21</v>
      </c>
      <c r="F18" s="7" t="s">
        <v>22</v>
      </c>
      <c r="G18" s="7" t="s">
        <v>23</v>
      </c>
      <c r="H18" s="7" t="s">
        <v>39</v>
      </c>
      <c r="I18" s="6" t="s">
        <v>25</v>
      </c>
      <c r="J18" s="6"/>
      <c r="K18" s="6" t="s">
        <v>44</v>
      </c>
      <c r="L18" s="6" t="s">
        <v>45</v>
      </c>
      <c r="M18" s="10">
        <v>13419.319017406477</v>
      </c>
      <c r="N18" s="10">
        <v>13419.319017406477</v>
      </c>
      <c r="O18" s="10">
        <v>13419.319017406477</v>
      </c>
      <c r="P18" s="10">
        <v>13419.319017406477</v>
      </c>
      <c r="Q18" s="10">
        <v>13419.319017406477</v>
      </c>
      <c r="R18" s="10">
        <v>13419.319017406477</v>
      </c>
      <c r="S18" s="10">
        <v>13419.319017406477</v>
      </c>
      <c r="T18" s="10">
        <v>13419.319017406477</v>
      </c>
      <c r="U18" s="10">
        <v>13419.319017406477</v>
      </c>
      <c r="V18" s="10">
        <v>13419.319017406477</v>
      </c>
      <c r="W18" s="10">
        <v>13419.319017406477</v>
      </c>
      <c r="X18" s="10">
        <v>13419.319017406477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161031.82820887776</v>
      </c>
      <c r="AL18" s="10">
        <v>0</v>
      </c>
      <c r="AM18" s="10">
        <v>0</v>
      </c>
      <c r="AN18" s="10">
        <v>0</v>
      </c>
      <c r="AO18" s="10">
        <v>0</v>
      </c>
      <c r="AP18" s="16">
        <f t="shared" si="1"/>
        <v>161031.82820887776</v>
      </c>
    </row>
    <row r="19" spans="1:42" x14ac:dyDescent="0.25">
      <c r="A19" s="6" t="s">
        <v>40</v>
      </c>
      <c r="B19" s="6" t="s">
        <v>18</v>
      </c>
      <c r="C19" s="6" t="s">
        <v>19</v>
      </c>
      <c r="D19" s="7" t="s">
        <v>20</v>
      </c>
      <c r="E19" s="7" t="s">
        <v>21</v>
      </c>
      <c r="F19" s="7" t="s">
        <v>22</v>
      </c>
      <c r="G19" s="7" t="s">
        <v>23</v>
      </c>
      <c r="H19" s="7" t="s">
        <v>41</v>
      </c>
      <c r="I19" s="6" t="s">
        <v>25</v>
      </c>
      <c r="J19" s="6"/>
      <c r="K19" s="6" t="s">
        <v>44</v>
      </c>
      <c r="L19" s="6" t="s">
        <v>45</v>
      </c>
      <c r="M19" s="10">
        <v>1093.5078846145752</v>
      </c>
      <c r="N19" s="10">
        <v>1093.5078846145752</v>
      </c>
      <c r="O19" s="10">
        <v>1093.5078846145752</v>
      </c>
      <c r="P19" s="10">
        <v>1093.5078846145752</v>
      </c>
      <c r="Q19" s="10">
        <v>1093.5078846145752</v>
      </c>
      <c r="R19" s="10">
        <v>1093.5078846145752</v>
      </c>
      <c r="S19" s="10">
        <v>1093.5078846145752</v>
      </c>
      <c r="T19" s="10">
        <v>1093.5078846145752</v>
      </c>
      <c r="U19" s="10">
        <v>1093.5078846145752</v>
      </c>
      <c r="V19" s="10">
        <v>1093.5078846145752</v>
      </c>
      <c r="W19" s="10">
        <v>1093.5078846145752</v>
      </c>
      <c r="X19" s="10">
        <v>1093.5078846145752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13122.094615374906</v>
      </c>
      <c r="AL19" s="10">
        <v>0</v>
      </c>
      <c r="AM19" s="10">
        <v>0</v>
      </c>
      <c r="AN19" s="10">
        <v>0</v>
      </c>
      <c r="AO19" s="10">
        <v>0</v>
      </c>
      <c r="AP19" s="16">
        <f t="shared" si="1"/>
        <v>13122.094615374906</v>
      </c>
    </row>
    <row r="20" spans="1:42" x14ac:dyDescent="0.25">
      <c r="A20" s="6" t="s">
        <v>42</v>
      </c>
      <c r="B20" s="6" t="s">
        <v>18</v>
      </c>
      <c r="C20" s="6" t="s">
        <v>19</v>
      </c>
      <c r="D20" s="7" t="s">
        <v>20</v>
      </c>
      <c r="E20" s="7" t="s">
        <v>21</v>
      </c>
      <c r="F20" s="7" t="s">
        <v>22</v>
      </c>
      <c r="G20" s="7" t="s">
        <v>23</v>
      </c>
      <c r="H20" s="7" t="s">
        <v>43</v>
      </c>
      <c r="I20" s="6" t="s">
        <v>25</v>
      </c>
      <c r="J20" s="6"/>
      <c r="K20" s="6" t="s">
        <v>44</v>
      </c>
      <c r="L20" s="6" t="s">
        <v>45</v>
      </c>
      <c r="M20" s="10">
        <v>4989.4031351655385</v>
      </c>
      <c r="N20" s="10">
        <v>4989.4031351655385</v>
      </c>
      <c r="O20" s="10">
        <v>4989.4031351655385</v>
      </c>
      <c r="P20" s="10">
        <v>4989.4031351655385</v>
      </c>
      <c r="Q20" s="10">
        <v>4989.4031351655385</v>
      </c>
      <c r="R20" s="10">
        <v>4989.4031351655385</v>
      </c>
      <c r="S20" s="10">
        <v>4989.4031351655385</v>
      </c>
      <c r="T20" s="10">
        <v>4989.4031351655385</v>
      </c>
      <c r="U20" s="10">
        <v>4989.4031351655385</v>
      </c>
      <c r="V20" s="10">
        <v>4989.4031351655385</v>
      </c>
      <c r="W20" s="10">
        <v>4989.4031351655385</v>
      </c>
      <c r="X20" s="10">
        <v>4989.4031351655385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59872.837621986459</v>
      </c>
      <c r="AL20" s="10">
        <v>0</v>
      </c>
      <c r="AM20" s="10">
        <v>0</v>
      </c>
      <c r="AN20" s="10">
        <v>0</v>
      </c>
      <c r="AO20" s="10">
        <v>0</v>
      </c>
      <c r="AP20" s="16">
        <f t="shared" si="1"/>
        <v>59872.837621986459</v>
      </c>
    </row>
    <row r="21" spans="1:42" x14ac:dyDescent="0.25">
      <c r="A21" s="6" t="s">
        <v>17</v>
      </c>
      <c r="B21" s="6" t="s">
        <v>18</v>
      </c>
      <c r="C21" s="6" t="s">
        <v>19</v>
      </c>
      <c r="D21" s="7" t="s">
        <v>20</v>
      </c>
      <c r="E21" s="7" t="s">
        <v>21</v>
      </c>
      <c r="F21" s="7" t="s">
        <v>22</v>
      </c>
      <c r="G21" s="7" t="s">
        <v>23</v>
      </c>
      <c r="H21" s="7" t="s">
        <v>24</v>
      </c>
      <c r="I21" s="6" t="s">
        <v>25</v>
      </c>
      <c r="J21" s="6"/>
      <c r="K21" s="6" t="s">
        <v>46</v>
      </c>
      <c r="L21" s="6" t="s">
        <v>47</v>
      </c>
      <c r="M21" s="10">
        <v>77.643949050570612</v>
      </c>
      <c r="N21" s="10">
        <v>77.643949050570612</v>
      </c>
      <c r="O21" s="10">
        <v>77.643949050570612</v>
      </c>
      <c r="P21" s="10">
        <v>77.643949050570612</v>
      </c>
      <c r="Q21" s="10">
        <v>77.643949050570612</v>
      </c>
      <c r="R21" s="10">
        <v>77.643949050570612</v>
      </c>
      <c r="S21" s="10">
        <v>77.643949050570612</v>
      </c>
      <c r="T21" s="10">
        <v>77.643949050570612</v>
      </c>
      <c r="U21" s="10">
        <v>77.643949050570612</v>
      </c>
      <c r="V21" s="10">
        <v>77.643949050570612</v>
      </c>
      <c r="W21" s="10">
        <v>77.643949050570612</v>
      </c>
      <c r="X21" s="10">
        <v>77.643949050570612</v>
      </c>
      <c r="Y21" s="10">
        <v>81.523672189872542</v>
      </c>
      <c r="Z21" s="10">
        <v>81.523672189872542</v>
      </c>
      <c r="AA21" s="10">
        <v>81.523672189872542</v>
      </c>
      <c r="AB21" s="10">
        <v>81.523672189872542</v>
      </c>
      <c r="AC21" s="10">
        <v>81.523672189872542</v>
      </c>
      <c r="AD21" s="10">
        <v>81.523672189872542</v>
      </c>
      <c r="AE21" s="10">
        <v>81.523672189872542</v>
      </c>
      <c r="AF21" s="10">
        <v>81.523672189872542</v>
      </c>
      <c r="AG21" s="10">
        <v>81.523672189872542</v>
      </c>
      <c r="AH21" s="10">
        <v>81.523672189872542</v>
      </c>
      <c r="AI21" s="10">
        <v>81.523672189872542</v>
      </c>
      <c r="AJ21" s="10">
        <v>81.523672189872542</v>
      </c>
      <c r="AK21" s="10">
        <v>931.72738860684751</v>
      </c>
      <c r="AL21" s="10">
        <v>978.2840662784705</v>
      </c>
      <c r="AM21" s="10">
        <v>1027.1665983830935</v>
      </c>
      <c r="AN21" s="10">
        <v>1078.5234437143124</v>
      </c>
      <c r="AO21" s="10">
        <v>1132.4535748011906</v>
      </c>
      <c r="AP21" s="16">
        <f t="shared" si="1"/>
        <v>5148.1550717839145</v>
      </c>
    </row>
    <row r="22" spans="1:42" x14ac:dyDescent="0.25">
      <c r="A22" s="6" t="s">
        <v>28</v>
      </c>
      <c r="B22" s="6" t="s">
        <v>18</v>
      </c>
      <c r="C22" s="6" t="s">
        <v>19</v>
      </c>
      <c r="D22" s="7" t="s">
        <v>20</v>
      </c>
      <c r="E22" s="7" t="s">
        <v>21</v>
      </c>
      <c r="F22" s="7" t="s">
        <v>22</v>
      </c>
      <c r="G22" s="7" t="s">
        <v>23</v>
      </c>
      <c r="H22" s="7" t="s">
        <v>29</v>
      </c>
      <c r="I22" s="6" t="s">
        <v>25</v>
      </c>
      <c r="J22" s="6"/>
      <c r="K22" s="6" t="s">
        <v>46</v>
      </c>
      <c r="L22" s="6" t="s">
        <v>47</v>
      </c>
      <c r="M22" s="10">
        <v>25923.716181641146</v>
      </c>
      <c r="N22" s="10">
        <v>25923.716181641146</v>
      </c>
      <c r="O22" s="10">
        <v>25923.716181641146</v>
      </c>
      <c r="P22" s="10">
        <v>25923.716181641146</v>
      </c>
      <c r="Q22" s="10">
        <v>25923.716181641146</v>
      </c>
      <c r="R22" s="10">
        <v>25923.716181641146</v>
      </c>
      <c r="S22" s="10">
        <v>25923.716181641146</v>
      </c>
      <c r="T22" s="10">
        <v>25923.716181641146</v>
      </c>
      <c r="U22" s="10">
        <v>25923.716181641146</v>
      </c>
      <c r="V22" s="10">
        <v>25923.716181641146</v>
      </c>
      <c r="W22" s="10">
        <v>25923.716181641146</v>
      </c>
      <c r="X22" s="10">
        <v>25923.716181641146</v>
      </c>
      <c r="Y22" s="10">
        <v>27219.900011272624</v>
      </c>
      <c r="Z22" s="10">
        <v>27219.900011272624</v>
      </c>
      <c r="AA22" s="10">
        <v>27219.900011272624</v>
      </c>
      <c r="AB22" s="10">
        <v>27219.900011272624</v>
      </c>
      <c r="AC22" s="10">
        <v>27219.900011272624</v>
      </c>
      <c r="AD22" s="10">
        <v>27219.900011272624</v>
      </c>
      <c r="AE22" s="10">
        <v>27219.900011272624</v>
      </c>
      <c r="AF22" s="10">
        <v>27219.900011272624</v>
      </c>
      <c r="AG22" s="10">
        <v>27219.900011272624</v>
      </c>
      <c r="AH22" s="10">
        <v>27219.900011272624</v>
      </c>
      <c r="AI22" s="10">
        <v>27219.900011272624</v>
      </c>
      <c r="AJ22" s="10">
        <v>27219.900011272624</v>
      </c>
      <c r="AK22" s="10">
        <v>311084.59417969378</v>
      </c>
      <c r="AL22" s="10">
        <v>326638.80013527145</v>
      </c>
      <c r="AM22" s="10">
        <v>342970.76191599143</v>
      </c>
      <c r="AN22" s="10">
        <v>360119.29654775251</v>
      </c>
      <c r="AO22" s="10">
        <v>378125.25989055214</v>
      </c>
      <c r="AP22" s="16">
        <f t="shared" si="1"/>
        <v>1718938.7126692613</v>
      </c>
    </row>
    <row r="23" spans="1:42" x14ac:dyDescent="0.25">
      <c r="A23" s="6" t="s">
        <v>30</v>
      </c>
      <c r="B23" s="6" t="s">
        <v>18</v>
      </c>
      <c r="C23" s="6" t="s">
        <v>19</v>
      </c>
      <c r="D23" s="7" t="s">
        <v>20</v>
      </c>
      <c r="E23" s="7" t="s">
        <v>21</v>
      </c>
      <c r="F23" s="7" t="s">
        <v>22</v>
      </c>
      <c r="G23" s="7" t="s">
        <v>23</v>
      </c>
      <c r="H23" s="7" t="s">
        <v>31</v>
      </c>
      <c r="I23" s="6" t="s">
        <v>25</v>
      </c>
      <c r="J23" s="6"/>
      <c r="K23" s="6" t="s">
        <v>46</v>
      </c>
      <c r="L23" s="6" t="s">
        <v>47</v>
      </c>
      <c r="M23" s="10">
        <v>9774.7744016660035</v>
      </c>
      <c r="N23" s="10">
        <v>9774.7744016660035</v>
      </c>
      <c r="O23" s="10">
        <v>9774.7744016660035</v>
      </c>
      <c r="P23" s="10">
        <v>9774.7744016660035</v>
      </c>
      <c r="Q23" s="10">
        <v>9774.7744016660035</v>
      </c>
      <c r="R23" s="10">
        <v>9774.7744016660035</v>
      </c>
      <c r="S23" s="10">
        <v>9774.7744016660035</v>
      </c>
      <c r="T23" s="10">
        <v>9774.7744016660035</v>
      </c>
      <c r="U23" s="10">
        <v>9774.7744016660035</v>
      </c>
      <c r="V23" s="10">
        <v>9774.7744016660035</v>
      </c>
      <c r="W23" s="10">
        <v>9774.7744016660035</v>
      </c>
      <c r="X23" s="10">
        <v>9774.7744016660035</v>
      </c>
      <c r="Y23" s="10">
        <v>10263.510647436078</v>
      </c>
      <c r="Z23" s="10">
        <v>10263.510647436078</v>
      </c>
      <c r="AA23" s="10">
        <v>10263.510647436078</v>
      </c>
      <c r="AB23" s="10">
        <v>10263.510647436078</v>
      </c>
      <c r="AC23" s="10">
        <v>10263.510647436078</v>
      </c>
      <c r="AD23" s="10">
        <v>10263.510647436078</v>
      </c>
      <c r="AE23" s="10">
        <v>10263.510647436078</v>
      </c>
      <c r="AF23" s="10">
        <v>10263.510647436078</v>
      </c>
      <c r="AG23" s="10">
        <v>10263.510647436078</v>
      </c>
      <c r="AH23" s="10">
        <v>10263.510647436078</v>
      </c>
      <c r="AI23" s="10">
        <v>10263.510647436078</v>
      </c>
      <c r="AJ23" s="10">
        <v>10263.510647436078</v>
      </c>
      <c r="AK23" s="10">
        <v>117297.29281999204</v>
      </c>
      <c r="AL23" s="10">
        <v>123162.1277692329</v>
      </c>
      <c r="AM23" s="10">
        <v>129320.20842483702</v>
      </c>
      <c r="AN23" s="10">
        <v>135786.22231011739</v>
      </c>
      <c r="AO23" s="10">
        <v>142575.52996158475</v>
      </c>
      <c r="AP23" s="16">
        <f t="shared" si="1"/>
        <v>648141.38128576416</v>
      </c>
    </row>
    <row r="24" spans="1:42" x14ac:dyDescent="0.25">
      <c r="A24" s="6" t="s">
        <v>32</v>
      </c>
      <c r="B24" s="6" t="s">
        <v>18</v>
      </c>
      <c r="C24" s="6" t="s">
        <v>19</v>
      </c>
      <c r="D24" s="7" t="s">
        <v>20</v>
      </c>
      <c r="E24" s="7" t="s">
        <v>21</v>
      </c>
      <c r="F24" s="7" t="s">
        <v>22</v>
      </c>
      <c r="G24" s="7" t="s">
        <v>23</v>
      </c>
      <c r="H24" s="7" t="s">
        <v>33</v>
      </c>
      <c r="I24" s="6" t="s">
        <v>25</v>
      </c>
      <c r="J24" s="6"/>
      <c r="K24" s="6" t="s">
        <v>46</v>
      </c>
      <c r="L24" s="6" t="s">
        <v>47</v>
      </c>
      <c r="M24" s="10">
        <v>2523.2749367234956</v>
      </c>
      <c r="N24" s="10">
        <v>2523.2749367234956</v>
      </c>
      <c r="O24" s="10">
        <v>2523.2749367234956</v>
      </c>
      <c r="P24" s="10">
        <v>2523.2749367234956</v>
      </c>
      <c r="Q24" s="10">
        <v>2523.2749367234956</v>
      </c>
      <c r="R24" s="10">
        <v>2523.2749367234956</v>
      </c>
      <c r="S24" s="10">
        <v>2523.2749367234956</v>
      </c>
      <c r="T24" s="10">
        <v>2523.2749367234956</v>
      </c>
      <c r="U24" s="10">
        <v>2523.2749367234956</v>
      </c>
      <c r="V24" s="10">
        <v>2523.2749367234956</v>
      </c>
      <c r="W24" s="10">
        <v>2523.2749367234956</v>
      </c>
      <c r="X24" s="10">
        <v>2523.2749367234956</v>
      </c>
      <c r="Y24" s="10">
        <v>2649.4352195211536</v>
      </c>
      <c r="Z24" s="10">
        <v>2649.4352195211536</v>
      </c>
      <c r="AA24" s="10">
        <v>2649.4352195211536</v>
      </c>
      <c r="AB24" s="10">
        <v>2649.4352195211536</v>
      </c>
      <c r="AC24" s="10">
        <v>2649.4352195211536</v>
      </c>
      <c r="AD24" s="10">
        <v>2649.4352195211536</v>
      </c>
      <c r="AE24" s="10">
        <v>2649.4352195211536</v>
      </c>
      <c r="AF24" s="10">
        <v>2649.4352195211536</v>
      </c>
      <c r="AG24" s="10">
        <v>2649.4352195211536</v>
      </c>
      <c r="AH24" s="10">
        <v>2649.4352195211536</v>
      </c>
      <c r="AI24" s="10">
        <v>2649.4352195211536</v>
      </c>
      <c r="AJ24" s="10">
        <v>2649.4352195211536</v>
      </c>
      <c r="AK24" s="10">
        <v>30279.299240681954</v>
      </c>
      <c r="AL24" s="10">
        <v>31793.222634253834</v>
      </c>
      <c r="AM24" s="10">
        <v>33382.899601571182</v>
      </c>
      <c r="AN24" s="10">
        <v>35052.041612473869</v>
      </c>
      <c r="AO24" s="10">
        <v>36804.647157136082</v>
      </c>
      <c r="AP24" s="16">
        <f t="shared" si="1"/>
        <v>167312.11024611694</v>
      </c>
    </row>
    <row r="25" spans="1:42" x14ac:dyDescent="0.25">
      <c r="A25" s="6" t="s">
        <v>34</v>
      </c>
      <c r="B25" s="6" t="s">
        <v>18</v>
      </c>
      <c r="C25" s="6" t="s">
        <v>19</v>
      </c>
      <c r="D25" s="7" t="s">
        <v>20</v>
      </c>
      <c r="E25" s="7" t="s">
        <v>21</v>
      </c>
      <c r="F25" s="7" t="s">
        <v>22</v>
      </c>
      <c r="G25" s="7" t="s">
        <v>23</v>
      </c>
      <c r="H25" s="7" t="s">
        <v>35</v>
      </c>
      <c r="I25" s="6" t="s">
        <v>25</v>
      </c>
      <c r="J25" s="6"/>
      <c r="K25" s="6" t="s">
        <v>46</v>
      </c>
      <c r="L25" s="6" t="s">
        <v>47</v>
      </c>
      <c r="M25" s="10">
        <v>19867.864251307081</v>
      </c>
      <c r="N25" s="10">
        <v>19867.864251307081</v>
      </c>
      <c r="O25" s="10">
        <v>19867.864251307081</v>
      </c>
      <c r="P25" s="10">
        <v>19867.864251307081</v>
      </c>
      <c r="Q25" s="10">
        <v>19867.864251307081</v>
      </c>
      <c r="R25" s="10">
        <v>19867.864251307081</v>
      </c>
      <c r="S25" s="10">
        <v>19867.864251307081</v>
      </c>
      <c r="T25" s="10">
        <v>19867.864251307081</v>
      </c>
      <c r="U25" s="10">
        <v>19867.864251307081</v>
      </c>
      <c r="V25" s="10">
        <v>19867.864251307081</v>
      </c>
      <c r="W25" s="10">
        <v>19867.864251307081</v>
      </c>
      <c r="X25" s="10">
        <v>19867.864251307081</v>
      </c>
      <c r="Y25" s="10">
        <v>20861.251525520689</v>
      </c>
      <c r="Z25" s="10">
        <v>20861.251525520689</v>
      </c>
      <c r="AA25" s="10">
        <v>20861.251525520689</v>
      </c>
      <c r="AB25" s="10">
        <v>20861.251525520689</v>
      </c>
      <c r="AC25" s="10">
        <v>20861.251525520689</v>
      </c>
      <c r="AD25" s="10">
        <v>20861.251525520689</v>
      </c>
      <c r="AE25" s="10">
        <v>20861.251525520689</v>
      </c>
      <c r="AF25" s="10">
        <v>20861.251525520689</v>
      </c>
      <c r="AG25" s="10">
        <v>20861.251525520689</v>
      </c>
      <c r="AH25" s="10">
        <v>20861.251525520689</v>
      </c>
      <c r="AI25" s="10">
        <v>20861.251525520689</v>
      </c>
      <c r="AJ25" s="10">
        <v>20861.251525520689</v>
      </c>
      <c r="AK25" s="10">
        <v>238414.37101568494</v>
      </c>
      <c r="AL25" s="10">
        <v>250335.01830624833</v>
      </c>
      <c r="AM25" s="10">
        <v>262851.80683112174</v>
      </c>
      <c r="AN25" s="10">
        <v>275994.39865726576</v>
      </c>
      <c r="AO25" s="10">
        <v>289794.11859012907</v>
      </c>
      <c r="AP25" s="16">
        <f t="shared" si="1"/>
        <v>1317389.7134004498</v>
      </c>
    </row>
    <row r="26" spans="1:42" x14ac:dyDescent="0.25">
      <c r="A26" s="6" t="s">
        <v>38</v>
      </c>
      <c r="B26" s="6" t="s">
        <v>18</v>
      </c>
      <c r="C26" s="6" t="s">
        <v>19</v>
      </c>
      <c r="D26" s="7" t="s">
        <v>20</v>
      </c>
      <c r="E26" s="7" t="s">
        <v>21</v>
      </c>
      <c r="F26" s="7" t="s">
        <v>22</v>
      </c>
      <c r="G26" s="7" t="s">
        <v>23</v>
      </c>
      <c r="H26" s="7" t="s">
        <v>39</v>
      </c>
      <c r="I26" s="6" t="s">
        <v>25</v>
      </c>
      <c r="J26" s="6"/>
      <c r="K26" s="6" t="s">
        <v>46</v>
      </c>
      <c r="L26" s="6" t="s">
        <v>47</v>
      </c>
      <c r="M26" s="10">
        <v>13245.236236036115</v>
      </c>
      <c r="N26" s="10">
        <v>13245.236236036115</v>
      </c>
      <c r="O26" s="10">
        <v>13245.236236036115</v>
      </c>
      <c r="P26" s="10">
        <v>13245.236236036115</v>
      </c>
      <c r="Q26" s="10">
        <v>13245.236236036115</v>
      </c>
      <c r="R26" s="10">
        <v>13245.236236036115</v>
      </c>
      <c r="S26" s="10">
        <v>13245.236236036115</v>
      </c>
      <c r="T26" s="10">
        <v>13245.236236036115</v>
      </c>
      <c r="U26" s="10">
        <v>13245.236236036115</v>
      </c>
      <c r="V26" s="10">
        <v>13245.236236036115</v>
      </c>
      <c r="W26" s="10">
        <v>13245.236236036115</v>
      </c>
      <c r="X26" s="10">
        <v>13245.236236036115</v>
      </c>
      <c r="Y26" s="10">
        <v>13907.501017013794</v>
      </c>
      <c r="Z26" s="10">
        <v>13907.501017013794</v>
      </c>
      <c r="AA26" s="10">
        <v>13907.501017013794</v>
      </c>
      <c r="AB26" s="10">
        <v>13907.501017013794</v>
      </c>
      <c r="AC26" s="10">
        <v>13907.501017013794</v>
      </c>
      <c r="AD26" s="10">
        <v>13907.501017013794</v>
      </c>
      <c r="AE26" s="10">
        <v>13907.501017013794</v>
      </c>
      <c r="AF26" s="10">
        <v>13907.501017013794</v>
      </c>
      <c r="AG26" s="10">
        <v>13907.501017013794</v>
      </c>
      <c r="AH26" s="10">
        <v>13907.501017013794</v>
      </c>
      <c r="AI26" s="10">
        <v>13907.501017013794</v>
      </c>
      <c r="AJ26" s="10">
        <v>13907.501017013794</v>
      </c>
      <c r="AK26" s="10">
        <v>158942.83483243341</v>
      </c>
      <c r="AL26" s="10">
        <v>166890.01220416554</v>
      </c>
      <c r="AM26" s="10">
        <v>175234.53458833019</v>
      </c>
      <c r="AN26" s="10">
        <v>183996.26577151052</v>
      </c>
      <c r="AO26" s="10">
        <v>193196.07906008605</v>
      </c>
      <c r="AP26" s="16">
        <f t="shared" si="1"/>
        <v>878259.72645652574</v>
      </c>
    </row>
    <row r="27" spans="1:42" x14ac:dyDescent="0.25">
      <c r="A27" s="6" t="s">
        <v>40</v>
      </c>
      <c r="B27" s="6" t="s">
        <v>18</v>
      </c>
      <c r="C27" s="6" t="s">
        <v>19</v>
      </c>
      <c r="D27" s="7" t="s">
        <v>20</v>
      </c>
      <c r="E27" s="7" t="s">
        <v>21</v>
      </c>
      <c r="F27" s="7" t="s">
        <v>22</v>
      </c>
      <c r="G27" s="7" t="s">
        <v>23</v>
      </c>
      <c r="H27" s="7" t="s">
        <v>41</v>
      </c>
      <c r="I27" s="6" t="s">
        <v>25</v>
      </c>
      <c r="J27" s="6"/>
      <c r="K27" s="6" t="s">
        <v>46</v>
      </c>
      <c r="L27" s="6" t="s">
        <v>47</v>
      </c>
      <c r="M27" s="10">
        <v>947.19679489952307</v>
      </c>
      <c r="N27" s="10">
        <v>947.19679489952307</v>
      </c>
      <c r="O27" s="10">
        <v>947.19679489952307</v>
      </c>
      <c r="P27" s="10">
        <v>947.19679489952307</v>
      </c>
      <c r="Q27" s="10">
        <v>947.19679489952307</v>
      </c>
      <c r="R27" s="10">
        <v>947.19679489952307</v>
      </c>
      <c r="S27" s="10">
        <v>947.19679489952307</v>
      </c>
      <c r="T27" s="10">
        <v>947.19679489952307</v>
      </c>
      <c r="U27" s="10">
        <v>947.19679489952307</v>
      </c>
      <c r="V27" s="10">
        <v>947.19679489952307</v>
      </c>
      <c r="W27" s="10">
        <v>947.19679489952307</v>
      </c>
      <c r="X27" s="10">
        <v>947.19679489952307</v>
      </c>
      <c r="Y27" s="10">
        <v>994.55515005656321</v>
      </c>
      <c r="Z27" s="10">
        <v>994.55515005656321</v>
      </c>
      <c r="AA27" s="10">
        <v>994.55515005656321</v>
      </c>
      <c r="AB27" s="10">
        <v>994.55515005656321</v>
      </c>
      <c r="AC27" s="10">
        <v>994.55515005656321</v>
      </c>
      <c r="AD27" s="10">
        <v>994.55515005656321</v>
      </c>
      <c r="AE27" s="10">
        <v>994.55515005656321</v>
      </c>
      <c r="AF27" s="10">
        <v>994.55515005656321</v>
      </c>
      <c r="AG27" s="10">
        <v>994.55515005656321</v>
      </c>
      <c r="AH27" s="10">
        <v>994.55515005656321</v>
      </c>
      <c r="AI27" s="10">
        <v>994.55515005656321</v>
      </c>
      <c r="AJ27" s="10">
        <v>994.55515005656321</v>
      </c>
      <c r="AK27" s="10">
        <v>11366.361538794277</v>
      </c>
      <c r="AL27" s="10">
        <v>11934.661800678758</v>
      </c>
      <c r="AM27" s="10">
        <v>12531.426561921999</v>
      </c>
      <c r="AN27" s="10">
        <v>13158.001848919261</v>
      </c>
      <c r="AO27" s="10">
        <v>13815.901941365224</v>
      </c>
      <c r="AP27" s="16">
        <f t="shared" si="1"/>
        <v>62806.353691679513</v>
      </c>
    </row>
    <row r="28" spans="1:42" x14ac:dyDescent="0.25">
      <c r="A28" s="6" t="s">
        <v>42</v>
      </c>
      <c r="B28" s="6" t="s">
        <v>18</v>
      </c>
      <c r="C28" s="6" t="s">
        <v>19</v>
      </c>
      <c r="D28" s="7" t="s">
        <v>20</v>
      </c>
      <c r="E28" s="7" t="s">
        <v>21</v>
      </c>
      <c r="F28" s="7" t="s">
        <v>22</v>
      </c>
      <c r="G28" s="7" t="s">
        <v>23</v>
      </c>
      <c r="H28" s="7" t="s">
        <v>43</v>
      </c>
      <c r="I28" s="6" t="s">
        <v>25</v>
      </c>
      <c r="J28" s="6"/>
      <c r="K28" s="6" t="s">
        <v>46</v>
      </c>
      <c r="L28" s="6" t="s">
        <v>47</v>
      </c>
      <c r="M28" s="10">
        <v>5279.4619260928912</v>
      </c>
      <c r="N28" s="10">
        <v>5279.4619260928912</v>
      </c>
      <c r="O28" s="10">
        <v>5279.4619260928912</v>
      </c>
      <c r="P28" s="10">
        <v>5279.4619260928912</v>
      </c>
      <c r="Q28" s="10">
        <v>5279.4619260928912</v>
      </c>
      <c r="R28" s="10">
        <v>5279.4619260928912</v>
      </c>
      <c r="S28" s="10">
        <v>5279.4619260928912</v>
      </c>
      <c r="T28" s="10">
        <v>5279.4619260928912</v>
      </c>
      <c r="U28" s="10">
        <v>5279.4619260928912</v>
      </c>
      <c r="V28" s="10">
        <v>5279.4619260928912</v>
      </c>
      <c r="W28" s="10">
        <v>5279.4619260928912</v>
      </c>
      <c r="X28" s="10">
        <v>5279.4619260928912</v>
      </c>
      <c r="Y28" s="10">
        <v>5543.421661106112</v>
      </c>
      <c r="Z28" s="10">
        <v>5543.421661106112</v>
      </c>
      <c r="AA28" s="10">
        <v>5543.421661106112</v>
      </c>
      <c r="AB28" s="10">
        <v>5543.421661106112</v>
      </c>
      <c r="AC28" s="10">
        <v>5543.421661106112</v>
      </c>
      <c r="AD28" s="10">
        <v>5543.421661106112</v>
      </c>
      <c r="AE28" s="10">
        <v>5543.421661106112</v>
      </c>
      <c r="AF28" s="10">
        <v>5543.421661106112</v>
      </c>
      <c r="AG28" s="10">
        <v>5543.421661106112</v>
      </c>
      <c r="AH28" s="10">
        <v>5543.421661106112</v>
      </c>
      <c r="AI28" s="10">
        <v>5543.421661106112</v>
      </c>
      <c r="AJ28" s="10">
        <v>5543.421661106112</v>
      </c>
      <c r="AK28" s="10">
        <v>63353.543113114705</v>
      </c>
      <c r="AL28" s="10">
        <v>66521.05993327334</v>
      </c>
      <c r="AM28" s="10">
        <v>69847.298998291648</v>
      </c>
      <c r="AN28" s="10">
        <v>73339.663453343586</v>
      </c>
      <c r="AO28" s="10">
        <v>77006.645141422821</v>
      </c>
      <c r="AP28" s="16">
        <f t="shared" si="1"/>
        <v>350068.2106394461</v>
      </c>
    </row>
    <row r="29" spans="1:42" x14ac:dyDescent="0.25">
      <c r="A29" s="6" t="s">
        <v>17</v>
      </c>
      <c r="B29" s="6" t="s">
        <v>18</v>
      </c>
      <c r="C29" s="6" t="s">
        <v>19</v>
      </c>
      <c r="D29" s="7" t="s">
        <v>20</v>
      </c>
      <c r="E29" s="7" t="s">
        <v>21</v>
      </c>
      <c r="F29" s="7" t="s">
        <v>22</v>
      </c>
      <c r="G29" s="7" t="s">
        <v>23</v>
      </c>
      <c r="H29" s="7" t="s">
        <v>24</v>
      </c>
      <c r="I29" s="6" t="s">
        <v>25</v>
      </c>
      <c r="J29" s="6"/>
      <c r="K29" s="6" t="s">
        <v>48</v>
      </c>
      <c r="L29" s="6" t="s">
        <v>49</v>
      </c>
      <c r="M29" s="10">
        <v>89.461269020791292</v>
      </c>
      <c r="N29" s="10">
        <v>89.461269020791292</v>
      </c>
      <c r="O29" s="10">
        <v>89.461269020791292</v>
      </c>
      <c r="P29" s="10">
        <v>89.461269020791292</v>
      </c>
      <c r="Q29" s="10">
        <v>89.461269020791292</v>
      </c>
      <c r="R29" s="10">
        <v>89.461269020791292</v>
      </c>
      <c r="S29" s="10">
        <v>89.461269020791292</v>
      </c>
      <c r="T29" s="10">
        <v>89.461269020791292</v>
      </c>
      <c r="U29" s="10">
        <v>89.461269020791292</v>
      </c>
      <c r="V29" s="10">
        <v>89.461269020791292</v>
      </c>
      <c r="W29" s="10">
        <v>89.461269020791292</v>
      </c>
      <c r="X29" s="10">
        <v>89.461269020791292</v>
      </c>
      <c r="Y29" s="10">
        <v>111.36388970261574</v>
      </c>
      <c r="Z29" s="10">
        <v>111.36388970261574</v>
      </c>
      <c r="AA29" s="10">
        <v>111.36388970261574</v>
      </c>
      <c r="AB29" s="10">
        <v>111.36388970261574</v>
      </c>
      <c r="AC29" s="10">
        <v>111.36388970261574</v>
      </c>
      <c r="AD29" s="10">
        <v>111.36388970261574</v>
      </c>
      <c r="AE29" s="10">
        <v>111.36388970261574</v>
      </c>
      <c r="AF29" s="10">
        <v>111.36388970261574</v>
      </c>
      <c r="AG29" s="10">
        <v>111.36388970261574</v>
      </c>
      <c r="AH29" s="10">
        <v>111.36388970261574</v>
      </c>
      <c r="AI29" s="10">
        <v>111.36388970261574</v>
      </c>
      <c r="AJ29" s="10">
        <v>111.36388970261574</v>
      </c>
      <c r="AK29" s="10">
        <v>1073.5352282494955</v>
      </c>
      <c r="AL29" s="10">
        <v>1336.3666764313889</v>
      </c>
      <c r="AM29" s="10">
        <v>0</v>
      </c>
      <c r="AN29" s="10">
        <v>0</v>
      </c>
      <c r="AO29" s="10">
        <v>0</v>
      </c>
      <c r="AP29" s="16">
        <f t="shared" si="1"/>
        <v>2409.9019046808844</v>
      </c>
    </row>
    <row r="30" spans="1:42" x14ac:dyDescent="0.25">
      <c r="A30" s="6" t="s">
        <v>28</v>
      </c>
      <c r="B30" s="6" t="s">
        <v>18</v>
      </c>
      <c r="C30" s="6" t="s">
        <v>19</v>
      </c>
      <c r="D30" s="7" t="s">
        <v>20</v>
      </c>
      <c r="E30" s="7" t="s">
        <v>21</v>
      </c>
      <c r="F30" s="7" t="s">
        <v>22</v>
      </c>
      <c r="G30" s="7" t="s">
        <v>23</v>
      </c>
      <c r="H30" s="7" t="s">
        <v>29</v>
      </c>
      <c r="I30" s="6" t="s">
        <v>25</v>
      </c>
      <c r="J30" s="6"/>
      <c r="K30" s="6" t="s">
        <v>48</v>
      </c>
      <c r="L30" s="6" t="s">
        <v>49</v>
      </c>
      <c r="M30" s="10">
        <v>29812.16869800651</v>
      </c>
      <c r="N30" s="10">
        <v>29812.16869800651</v>
      </c>
      <c r="O30" s="10">
        <v>29812.16869800651</v>
      </c>
      <c r="P30" s="10">
        <v>29812.16869800651</v>
      </c>
      <c r="Q30" s="10">
        <v>29812.16869800651</v>
      </c>
      <c r="R30" s="10">
        <v>29812.16869800651</v>
      </c>
      <c r="S30" s="10">
        <v>29812.16869800651</v>
      </c>
      <c r="T30" s="10">
        <v>29812.16869800651</v>
      </c>
      <c r="U30" s="10">
        <v>29812.16869800651</v>
      </c>
      <c r="V30" s="10">
        <v>29812.16869800651</v>
      </c>
      <c r="W30" s="10">
        <v>29812.16869800651</v>
      </c>
      <c r="X30" s="10">
        <v>29812.16869800651</v>
      </c>
      <c r="Y30" s="10">
        <v>37112.065729661226</v>
      </c>
      <c r="Z30" s="10">
        <v>37112.065729661226</v>
      </c>
      <c r="AA30" s="10">
        <v>37112.065729661226</v>
      </c>
      <c r="AB30" s="10">
        <v>37112.065729661226</v>
      </c>
      <c r="AC30" s="10">
        <v>37112.065729661226</v>
      </c>
      <c r="AD30" s="10">
        <v>37112.065729661226</v>
      </c>
      <c r="AE30" s="10">
        <v>37112.065729661226</v>
      </c>
      <c r="AF30" s="10">
        <v>37112.065729661226</v>
      </c>
      <c r="AG30" s="10">
        <v>37112.065729661226</v>
      </c>
      <c r="AH30" s="10">
        <v>37112.065729661226</v>
      </c>
      <c r="AI30" s="10">
        <v>37112.065729661226</v>
      </c>
      <c r="AJ30" s="10">
        <v>37112.065729661226</v>
      </c>
      <c r="AK30" s="10">
        <v>357746.02437607804</v>
      </c>
      <c r="AL30" s="10">
        <v>445344.78875593457</v>
      </c>
      <c r="AM30" s="10">
        <v>0</v>
      </c>
      <c r="AN30" s="10">
        <v>0</v>
      </c>
      <c r="AO30" s="10">
        <v>0</v>
      </c>
      <c r="AP30" s="16">
        <f t="shared" si="1"/>
        <v>803090.81313201261</v>
      </c>
    </row>
    <row r="31" spans="1:42" x14ac:dyDescent="0.25">
      <c r="A31" s="6" t="s">
        <v>30</v>
      </c>
      <c r="B31" s="6" t="s">
        <v>18</v>
      </c>
      <c r="C31" s="6" t="s">
        <v>19</v>
      </c>
      <c r="D31" s="7" t="s">
        <v>20</v>
      </c>
      <c r="E31" s="7" t="s">
        <v>21</v>
      </c>
      <c r="F31" s="7" t="s">
        <v>22</v>
      </c>
      <c r="G31" s="7" t="s">
        <v>23</v>
      </c>
      <c r="H31" s="7" t="s">
        <v>31</v>
      </c>
      <c r="I31" s="6" t="s">
        <v>25</v>
      </c>
      <c r="J31" s="6"/>
      <c r="K31" s="6" t="s">
        <v>48</v>
      </c>
      <c r="L31" s="6" t="s">
        <v>49</v>
      </c>
      <c r="M31" s="10">
        <v>11240.626837871592</v>
      </c>
      <c r="N31" s="10">
        <v>11240.626837871592</v>
      </c>
      <c r="O31" s="10">
        <v>11240.626837871592</v>
      </c>
      <c r="P31" s="10">
        <v>11240.626837871592</v>
      </c>
      <c r="Q31" s="10">
        <v>11240.626837871592</v>
      </c>
      <c r="R31" s="10">
        <v>11240.626837871592</v>
      </c>
      <c r="S31" s="10">
        <v>11240.626837871592</v>
      </c>
      <c r="T31" s="10">
        <v>11240.626837871592</v>
      </c>
      <c r="U31" s="10">
        <v>11240.626837871592</v>
      </c>
      <c r="V31" s="10">
        <v>11240.626837871592</v>
      </c>
      <c r="W31" s="10">
        <v>11240.626837871592</v>
      </c>
      <c r="X31" s="10">
        <v>11240.626837871592</v>
      </c>
      <c r="Y31" s="10">
        <v>13993.042973883657</v>
      </c>
      <c r="Z31" s="10">
        <v>13993.042973883657</v>
      </c>
      <c r="AA31" s="10">
        <v>13993.042973883657</v>
      </c>
      <c r="AB31" s="10">
        <v>13993.042973883657</v>
      </c>
      <c r="AC31" s="10">
        <v>13993.042973883657</v>
      </c>
      <c r="AD31" s="10">
        <v>13993.042973883657</v>
      </c>
      <c r="AE31" s="10">
        <v>13993.042973883657</v>
      </c>
      <c r="AF31" s="10">
        <v>13993.042973883657</v>
      </c>
      <c r="AG31" s="10">
        <v>13993.042973883657</v>
      </c>
      <c r="AH31" s="10">
        <v>13993.042973883657</v>
      </c>
      <c r="AI31" s="10">
        <v>13993.042973883657</v>
      </c>
      <c r="AJ31" s="10">
        <v>13993.042973883657</v>
      </c>
      <c r="AK31" s="10">
        <v>134887.52205445906</v>
      </c>
      <c r="AL31" s="10">
        <v>167916.5156866039</v>
      </c>
      <c r="AM31" s="10">
        <v>0</v>
      </c>
      <c r="AN31" s="10">
        <v>0</v>
      </c>
      <c r="AO31" s="10">
        <v>0</v>
      </c>
      <c r="AP31" s="16">
        <f t="shared" si="1"/>
        <v>302804.03774106293</v>
      </c>
    </row>
    <row r="32" spans="1:42" x14ac:dyDescent="0.25">
      <c r="A32" s="6" t="s">
        <v>32</v>
      </c>
      <c r="B32" s="6" t="s">
        <v>18</v>
      </c>
      <c r="C32" s="6" t="s">
        <v>19</v>
      </c>
      <c r="D32" s="7" t="s">
        <v>20</v>
      </c>
      <c r="E32" s="7" t="s">
        <v>21</v>
      </c>
      <c r="F32" s="7" t="s">
        <v>22</v>
      </c>
      <c r="G32" s="7" t="s">
        <v>23</v>
      </c>
      <c r="H32" s="7" t="s">
        <v>33</v>
      </c>
      <c r="I32" s="6" t="s">
        <v>25</v>
      </c>
      <c r="J32" s="6"/>
      <c r="K32" s="6" t="s">
        <v>48</v>
      </c>
      <c r="L32" s="6" t="s">
        <v>49</v>
      </c>
      <c r="M32" s="10">
        <v>2905.2495153924215</v>
      </c>
      <c r="N32" s="10">
        <v>2905.2495153924215</v>
      </c>
      <c r="O32" s="10">
        <v>2905.2495153924215</v>
      </c>
      <c r="P32" s="10">
        <v>2905.2495153924215</v>
      </c>
      <c r="Q32" s="10">
        <v>2905.2495153924215</v>
      </c>
      <c r="R32" s="10">
        <v>2905.2495153924215</v>
      </c>
      <c r="S32" s="10">
        <v>2905.2495153924215</v>
      </c>
      <c r="T32" s="10">
        <v>2905.2495153924215</v>
      </c>
      <c r="U32" s="10">
        <v>2905.2495153924215</v>
      </c>
      <c r="V32" s="10">
        <v>2905.2495153924215</v>
      </c>
      <c r="W32" s="10">
        <v>2905.2495153924215</v>
      </c>
      <c r="X32" s="10">
        <v>2905.2495153924215</v>
      </c>
      <c r="Y32" s="10">
        <v>3616.6343625444747</v>
      </c>
      <c r="Z32" s="10">
        <v>3616.6343625444747</v>
      </c>
      <c r="AA32" s="10">
        <v>3616.6343625444747</v>
      </c>
      <c r="AB32" s="10">
        <v>3616.6343625444747</v>
      </c>
      <c r="AC32" s="10">
        <v>3616.6343625444747</v>
      </c>
      <c r="AD32" s="10">
        <v>3616.6343625444747</v>
      </c>
      <c r="AE32" s="10">
        <v>3616.6343625444747</v>
      </c>
      <c r="AF32" s="10">
        <v>3616.6343625444747</v>
      </c>
      <c r="AG32" s="10">
        <v>3616.6343625444747</v>
      </c>
      <c r="AH32" s="10">
        <v>3616.6343625444747</v>
      </c>
      <c r="AI32" s="10">
        <v>3616.6343625444747</v>
      </c>
      <c r="AJ32" s="10">
        <v>3616.6343625444747</v>
      </c>
      <c r="AK32" s="10">
        <v>34862.994184709059</v>
      </c>
      <c r="AL32" s="10">
        <v>43399.612350533702</v>
      </c>
      <c r="AM32" s="10">
        <v>0</v>
      </c>
      <c r="AN32" s="10">
        <v>0</v>
      </c>
      <c r="AO32" s="10">
        <v>0</v>
      </c>
      <c r="AP32" s="16">
        <f t="shared" si="1"/>
        <v>78262.606535242754</v>
      </c>
    </row>
    <row r="33" spans="1:42" x14ac:dyDescent="0.25">
      <c r="A33" s="6" t="s">
        <v>34</v>
      </c>
      <c r="B33" s="6" t="s">
        <v>18</v>
      </c>
      <c r="C33" s="6" t="s">
        <v>19</v>
      </c>
      <c r="D33" s="7" t="s">
        <v>20</v>
      </c>
      <c r="E33" s="7" t="s">
        <v>21</v>
      </c>
      <c r="F33" s="7" t="s">
        <v>22</v>
      </c>
      <c r="G33" s="7" t="s">
        <v>23</v>
      </c>
      <c r="H33" s="7" t="s">
        <v>35</v>
      </c>
      <c r="I33" s="6" t="s">
        <v>25</v>
      </c>
      <c r="J33" s="6"/>
      <c r="K33" s="6" t="s">
        <v>48</v>
      </c>
      <c r="L33" s="6" t="s">
        <v>49</v>
      </c>
      <c r="M33" s="10">
        <v>22854.558260866124</v>
      </c>
      <c r="N33" s="10">
        <v>22854.558260866124</v>
      </c>
      <c r="O33" s="10">
        <v>22854.558260866124</v>
      </c>
      <c r="P33" s="10">
        <v>22854.558260866124</v>
      </c>
      <c r="Q33" s="10">
        <v>22854.558260866124</v>
      </c>
      <c r="R33" s="10">
        <v>22854.558260866124</v>
      </c>
      <c r="S33" s="10">
        <v>22854.558260866124</v>
      </c>
      <c r="T33" s="10">
        <v>22854.558260866124</v>
      </c>
      <c r="U33" s="10">
        <v>22854.558260866124</v>
      </c>
      <c r="V33" s="10">
        <v>22854.558260866124</v>
      </c>
      <c r="W33" s="10">
        <v>22854.558260866124</v>
      </c>
      <c r="X33" s="10">
        <v>22854.558260866124</v>
      </c>
      <c r="Y33" s="10">
        <v>28450.791663480693</v>
      </c>
      <c r="Z33" s="10">
        <v>28450.791663480693</v>
      </c>
      <c r="AA33" s="10">
        <v>28450.791663480693</v>
      </c>
      <c r="AB33" s="10">
        <v>28450.791663480693</v>
      </c>
      <c r="AC33" s="10">
        <v>28450.791663480693</v>
      </c>
      <c r="AD33" s="10">
        <v>28450.791663480693</v>
      </c>
      <c r="AE33" s="10">
        <v>28450.791663480693</v>
      </c>
      <c r="AF33" s="10">
        <v>28450.791663480693</v>
      </c>
      <c r="AG33" s="10">
        <v>28450.791663480693</v>
      </c>
      <c r="AH33" s="10">
        <v>28450.791663480693</v>
      </c>
      <c r="AI33" s="10">
        <v>28450.791663480693</v>
      </c>
      <c r="AJ33" s="10">
        <v>28450.791663480693</v>
      </c>
      <c r="AK33" s="10">
        <v>274254.69913039351</v>
      </c>
      <c r="AL33" s="10">
        <v>341409.49996176834</v>
      </c>
      <c r="AM33" s="10">
        <v>0</v>
      </c>
      <c r="AN33" s="10">
        <v>0</v>
      </c>
      <c r="AO33" s="10">
        <v>0</v>
      </c>
      <c r="AP33" s="16">
        <f t="shared" si="1"/>
        <v>615664.19909216184</v>
      </c>
    </row>
    <row r="34" spans="1:42" x14ac:dyDescent="0.25">
      <c r="A34" s="6" t="s">
        <v>38</v>
      </c>
      <c r="B34" s="6" t="s">
        <v>18</v>
      </c>
      <c r="C34" s="6" t="s">
        <v>19</v>
      </c>
      <c r="D34" s="7" t="s">
        <v>20</v>
      </c>
      <c r="E34" s="7" t="s">
        <v>21</v>
      </c>
      <c r="F34" s="7" t="s">
        <v>22</v>
      </c>
      <c r="G34" s="7" t="s">
        <v>23</v>
      </c>
      <c r="H34" s="7" t="s">
        <v>39</v>
      </c>
      <c r="I34" s="6" t="s">
        <v>25</v>
      </c>
      <c r="J34" s="6"/>
      <c r="K34" s="6" t="s">
        <v>48</v>
      </c>
      <c r="L34" s="6" t="s">
        <v>49</v>
      </c>
      <c r="M34" s="10">
        <v>15234.861193300374</v>
      </c>
      <c r="N34" s="10">
        <v>15234.861193300374</v>
      </c>
      <c r="O34" s="10">
        <v>15234.861193300374</v>
      </c>
      <c r="P34" s="10">
        <v>15234.861193300374</v>
      </c>
      <c r="Q34" s="10">
        <v>15234.861193300374</v>
      </c>
      <c r="R34" s="10">
        <v>15234.861193300374</v>
      </c>
      <c r="S34" s="10">
        <v>15234.861193300374</v>
      </c>
      <c r="T34" s="10">
        <v>15234.861193300374</v>
      </c>
      <c r="U34" s="10">
        <v>15234.861193300374</v>
      </c>
      <c r="V34" s="10">
        <v>15234.861193300374</v>
      </c>
      <c r="W34" s="10">
        <v>15234.861193300374</v>
      </c>
      <c r="X34" s="10">
        <v>15234.861193300374</v>
      </c>
      <c r="Y34" s="10">
        <v>18965.323861521152</v>
      </c>
      <c r="Z34" s="10">
        <v>18965.323861521152</v>
      </c>
      <c r="AA34" s="10">
        <v>18965.323861521152</v>
      </c>
      <c r="AB34" s="10">
        <v>18965.323861521152</v>
      </c>
      <c r="AC34" s="10">
        <v>18965.323861521152</v>
      </c>
      <c r="AD34" s="10">
        <v>18965.323861521152</v>
      </c>
      <c r="AE34" s="10">
        <v>18965.323861521152</v>
      </c>
      <c r="AF34" s="10">
        <v>18965.323861521152</v>
      </c>
      <c r="AG34" s="10">
        <v>18965.323861521152</v>
      </c>
      <c r="AH34" s="10">
        <v>18965.323861521152</v>
      </c>
      <c r="AI34" s="10">
        <v>18965.323861521152</v>
      </c>
      <c r="AJ34" s="10">
        <v>18965.323861521152</v>
      </c>
      <c r="AK34" s="10">
        <v>182818.33431960447</v>
      </c>
      <c r="AL34" s="10">
        <v>227583.8863382538</v>
      </c>
      <c r="AM34" s="10">
        <v>0</v>
      </c>
      <c r="AN34" s="10">
        <v>0</v>
      </c>
      <c r="AO34" s="10">
        <v>0</v>
      </c>
      <c r="AP34" s="16">
        <f t="shared" si="1"/>
        <v>410402.2206578583</v>
      </c>
    </row>
    <row r="35" spans="1:42" x14ac:dyDescent="0.25">
      <c r="A35" s="6" t="s">
        <v>40</v>
      </c>
      <c r="B35" s="6" t="s">
        <v>18</v>
      </c>
      <c r="C35" s="6" t="s">
        <v>19</v>
      </c>
      <c r="D35" s="7" t="s">
        <v>20</v>
      </c>
      <c r="E35" s="7" t="s">
        <v>21</v>
      </c>
      <c r="F35" s="7" t="s">
        <v>22</v>
      </c>
      <c r="G35" s="7" t="s">
        <v>23</v>
      </c>
      <c r="H35" s="7" t="s">
        <v>41</v>
      </c>
      <c r="I35" s="6" t="s">
        <v>25</v>
      </c>
      <c r="J35" s="6"/>
      <c r="K35" s="6" t="s">
        <v>48</v>
      </c>
      <c r="L35" s="6" t="s">
        <v>49</v>
      </c>
      <c r="M35" s="10">
        <v>1088.9650455305459</v>
      </c>
      <c r="N35" s="10">
        <v>1088.9650455305459</v>
      </c>
      <c r="O35" s="10">
        <v>1088.9650455305459</v>
      </c>
      <c r="P35" s="10">
        <v>1088.9650455305459</v>
      </c>
      <c r="Q35" s="10">
        <v>1088.9650455305459</v>
      </c>
      <c r="R35" s="10">
        <v>1088.9650455305459</v>
      </c>
      <c r="S35" s="10">
        <v>1088.9650455305459</v>
      </c>
      <c r="T35" s="10">
        <v>1088.9650455305459</v>
      </c>
      <c r="U35" s="10">
        <v>1088.9650455305459</v>
      </c>
      <c r="V35" s="10">
        <v>1088.9650455305459</v>
      </c>
      <c r="W35" s="10">
        <v>1088.9650455305459</v>
      </c>
      <c r="X35" s="10">
        <v>1088.9650455305459</v>
      </c>
      <c r="Y35" s="10">
        <v>1355.6069360813965</v>
      </c>
      <c r="Z35" s="10">
        <v>1355.6069360813965</v>
      </c>
      <c r="AA35" s="10">
        <v>1355.6069360813965</v>
      </c>
      <c r="AB35" s="10">
        <v>1355.6069360813965</v>
      </c>
      <c r="AC35" s="10">
        <v>1355.6069360813965</v>
      </c>
      <c r="AD35" s="10">
        <v>1355.6069360813965</v>
      </c>
      <c r="AE35" s="10">
        <v>1355.6069360813965</v>
      </c>
      <c r="AF35" s="10">
        <v>1355.6069360813965</v>
      </c>
      <c r="AG35" s="10">
        <v>1355.6069360813965</v>
      </c>
      <c r="AH35" s="10">
        <v>1355.6069360813965</v>
      </c>
      <c r="AI35" s="10">
        <v>1355.6069360813965</v>
      </c>
      <c r="AJ35" s="10">
        <v>1355.6069360813965</v>
      </c>
      <c r="AK35" s="10">
        <v>13067.580546366553</v>
      </c>
      <c r="AL35" s="10">
        <v>16267.283232976757</v>
      </c>
      <c r="AM35" s="10">
        <v>0</v>
      </c>
      <c r="AN35" s="10">
        <v>0</v>
      </c>
      <c r="AO35" s="10">
        <v>0</v>
      </c>
      <c r="AP35" s="16">
        <f t="shared" si="1"/>
        <v>29334.863779343308</v>
      </c>
    </row>
    <row r="36" spans="1:42" x14ac:dyDescent="0.25">
      <c r="A36" s="6" t="s">
        <v>42</v>
      </c>
      <c r="B36" s="6" t="s">
        <v>18</v>
      </c>
      <c r="C36" s="6" t="s">
        <v>19</v>
      </c>
      <c r="D36" s="7" t="s">
        <v>20</v>
      </c>
      <c r="E36" s="7" t="s">
        <v>21</v>
      </c>
      <c r="F36" s="7" t="s">
        <v>22</v>
      </c>
      <c r="G36" s="7" t="s">
        <v>23</v>
      </c>
      <c r="H36" s="7" t="s">
        <v>43</v>
      </c>
      <c r="I36" s="6" t="s">
        <v>25</v>
      </c>
      <c r="J36" s="6"/>
      <c r="K36" s="6" t="s">
        <v>48</v>
      </c>
      <c r="L36" s="6" t="s">
        <v>49</v>
      </c>
      <c r="M36" s="10">
        <v>6071.8260965249656</v>
      </c>
      <c r="N36" s="10">
        <v>6071.8260965249656</v>
      </c>
      <c r="O36" s="10">
        <v>6071.8260965249656</v>
      </c>
      <c r="P36" s="10">
        <v>6071.8260965249656</v>
      </c>
      <c r="Q36" s="10">
        <v>6071.8260965249656</v>
      </c>
      <c r="R36" s="10">
        <v>6071.8260965249656</v>
      </c>
      <c r="S36" s="10">
        <v>6071.8260965249656</v>
      </c>
      <c r="T36" s="10">
        <v>6071.8260965249656</v>
      </c>
      <c r="U36" s="10">
        <v>6071.8260965249656</v>
      </c>
      <c r="V36" s="10">
        <v>6071.8260965249656</v>
      </c>
      <c r="W36" s="10">
        <v>6071.8260965249656</v>
      </c>
      <c r="X36" s="10">
        <v>6071.8260965249656</v>
      </c>
      <c r="Y36" s="10">
        <v>7558.5914281217438</v>
      </c>
      <c r="Z36" s="10">
        <v>7558.5914281217438</v>
      </c>
      <c r="AA36" s="10">
        <v>7558.5914281217438</v>
      </c>
      <c r="AB36" s="10">
        <v>7558.5914281217438</v>
      </c>
      <c r="AC36" s="10">
        <v>7558.5914281217438</v>
      </c>
      <c r="AD36" s="10">
        <v>7558.5914281217438</v>
      </c>
      <c r="AE36" s="10">
        <v>7558.5914281217438</v>
      </c>
      <c r="AF36" s="10">
        <v>7558.5914281217438</v>
      </c>
      <c r="AG36" s="10">
        <v>7558.5914281217438</v>
      </c>
      <c r="AH36" s="10">
        <v>7558.5914281217438</v>
      </c>
      <c r="AI36" s="10">
        <v>7558.5914281217438</v>
      </c>
      <c r="AJ36" s="10">
        <v>7558.5914281217438</v>
      </c>
      <c r="AK36" s="10">
        <v>72861.913158299591</v>
      </c>
      <c r="AL36" s="10">
        <v>90703.097137460907</v>
      </c>
      <c r="AM36" s="10">
        <v>0</v>
      </c>
      <c r="AN36" s="10">
        <v>0</v>
      </c>
      <c r="AO36" s="10">
        <v>0</v>
      </c>
      <c r="AP36" s="16">
        <f t="shared" si="1"/>
        <v>163565.0102957605</v>
      </c>
    </row>
    <row r="37" spans="1:42" x14ac:dyDescent="0.25">
      <c r="A37" s="6" t="s">
        <v>17</v>
      </c>
      <c r="B37" s="6" t="s">
        <v>18</v>
      </c>
      <c r="C37" s="6" t="s">
        <v>19</v>
      </c>
      <c r="D37" s="7" t="s">
        <v>20</v>
      </c>
      <c r="E37" s="7" t="s">
        <v>21</v>
      </c>
      <c r="F37" s="7" t="s">
        <v>22</v>
      </c>
      <c r="G37" s="7" t="s">
        <v>23</v>
      </c>
      <c r="H37" s="7" t="s">
        <v>24</v>
      </c>
      <c r="I37" s="6" t="s">
        <v>25</v>
      </c>
      <c r="J37" s="6"/>
      <c r="K37" s="6" t="s">
        <v>50</v>
      </c>
      <c r="L37" s="6" t="s">
        <v>51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1183.909392661473</v>
      </c>
      <c r="AN37" s="10">
        <v>1243.1147595474531</v>
      </c>
      <c r="AO37" s="10">
        <v>1305.2695077995349</v>
      </c>
      <c r="AP37" s="16">
        <f t="shared" si="1"/>
        <v>3732.2936600084613</v>
      </c>
    </row>
    <row r="38" spans="1:42" x14ac:dyDescent="0.25">
      <c r="A38" s="6" t="s">
        <v>28</v>
      </c>
      <c r="B38" s="6" t="s">
        <v>18</v>
      </c>
      <c r="C38" s="6" t="s">
        <v>19</v>
      </c>
      <c r="D38" s="7" t="s">
        <v>20</v>
      </c>
      <c r="E38" s="7" t="s">
        <v>21</v>
      </c>
      <c r="F38" s="7" t="s">
        <v>22</v>
      </c>
      <c r="G38" s="7" t="s">
        <v>23</v>
      </c>
      <c r="H38" s="7" t="s">
        <v>29</v>
      </c>
      <c r="I38" s="6" t="s">
        <v>25</v>
      </c>
      <c r="J38" s="6"/>
      <c r="K38" s="6" t="s">
        <v>50</v>
      </c>
      <c r="L38" s="6" t="s">
        <v>51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376085.05997093633</v>
      </c>
      <c r="AN38" s="10">
        <v>394889.31593865895</v>
      </c>
      <c r="AO38" s="10">
        <v>414633.78124072932</v>
      </c>
      <c r="AP38" s="16">
        <f t="shared" si="1"/>
        <v>1185608.1571503247</v>
      </c>
    </row>
    <row r="39" spans="1:42" x14ac:dyDescent="0.25">
      <c r="A39" s="6" t="s">
        <v>30</v>
      </c>
      <c r="B39" s="6" t="s">
        <v>18</v>
      </c>
      <c r="C39" s="6" t="s">
        <v>19</v>
      </c>
      <c r="D39" s="7" t="s">
        <v>20</v>
      </c>
      <c r="E39" s="7" t="s">
        <v>21</v>
      </c>
      <c r="F39" s="7" t="s">
        <v>22</v>
      </c>
      <c r="G39" s="7" t="s">
        <v>23</v>
      </c>
      <c r="H39" s="7" t="s">
        <v>31</v>
      </c>
      <c r="I39" s="6" t="s">
        <v>25</v>
      </c>
      <c r="J39" s="6"/>
      <c r="K39" s="6" t="s">
        <v>50</v>
      </c>
      <c r="L39" s="6" t="s">
        <v>51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150399.92201376028</v>
      </c>
      <c r="AN39" s="10">
        <v>157919.92405280005</v>
      </c>
      <c r="AO39" s="10">
        <v>165815.91283250035</v>
      </c>
      <c r="AP39" s="16">
        <f t="shared" si="1"/>
        <v>474135.75889906072</v>
      </c>
    </row>
    <row r="40" spans="1:42" x14ac:dyDescent="0.25">
      <c r="A40" s="6" t="s">
        <v>32</v>
      </c>
      <c r="B40" s="6" t="s">
        <v>18</v>
      </c>
      <c r="C40" s="6" t="s">
        <v>19</v>
      </c>
      <c r="D40" s="7" t="s">
        <v>20</v>
      </c>
      <c r="E40" s="7" t="s">
        <v>21</v>
      </c>
      <c r="F40" s="7" t="s">
        <v>22</v>
      </c>
      <c r="G40" s="7" t="s">
        <v>23</v>
      </c>
      <c r="H40" s="7" t="s">
        <v>33</v>
      </c>
      <c r="I40" s="6" t="s">
        <v>25</v>
      </c>
      <c r="J40" s="6"/>
      <c r="K40" s="6" t="s">
        <v>50</v>
      </c>
      <c r="L40" s="6" t="s">
        <v>51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34116.078199623087</v>
      </c>
      <c r="AN40" s="10">
        <v>35821.879635291021</v>
      </c>
      <c r="AO40" s="10">
        <v>37612.975596506149</v>
      </c>
      <c r="AP40" s="16">
        <f t="shared" si="1"/>
        <v>107550.93343142026</v>
      </c>
    </row>
    <row r="41" spans="1:42" x14ac:dyDescent="0.25">
      <c r="A41" s="6" t="s">
        <v>34</v>
      </c>
      <c r="B41" s="6" t="s">
        <v>18</v>
      </c>
      <c r="C41" s="6" t="s">
        <v>19</v>
      </c>
      <c r="D41" s="7" t="s">
        <v>20</v>
      </c>
      <c r="E41" s="7" t="s">
        <v>21</v>
      </c>
      <c r="F41" s="7" t="s">
        <v>22</v>
      </c>
      <c r="G41" s="7" t="s">
        <v>23</v>
      </c>
      <c r="H41" s="7" t="s">
        <v>35</v>
      </c>
      <c r="I41" s="6" t="s">
        <v>25</v>
      </c>
      <c r="J41" s="6"/>
      <c r="K41" s="6" t="s">
        <v>50</v>
      </c>
      <c r="L41" s="6" t="s">
        <v>51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299994.31651072297</v>
      </c>
      <c r="AN41" s="10">
        <v>314994.03876947355</v>
      </c>
      <c r="AO41" s="10">
        <v>330743.73526445811</v>
      </c>
      <c r="AP41" s="16">
        <f t="shared" si="1"/>
        <v>945732.09054465464</v>
      </c>
    </row>
    <row r="42" spans="1:42" x14ac:dyDescent="0.25">
      <c r="A42" s="6" t="s">
        <v>38</v>
      </c>
      <c r="B42" s="6" t="s">
        <v>18</v>
      </c>
      <c r="C42" s="6" t="s">
        <v>19</v>
      </c>
      <c r="D42" s="7" t="s">
        <v>20</v>
      </c>
      <c r="E42" s="7" t="s">
        <v>21</v>
      </c>
      <c r="F42" s="7" t="s">
        <v>22</v>
      </c>
      <c r="G42" s="7" t="s">
        <v>23</v>
      </c>
      <c r="H42" s="7" t="s">
        <v>39</v>
      </c>
      <c r="I42" s="6" t="s">
        <v>25</v>
      </c>
      <c r="J42" s="6"/>
      <c r="K42" s="6" t="s">
        <v>50</v>
      </c>
      <c r="L42" s="6" t="s">
        <v>51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208867.76540766252</v>
      </c>
      <c r="AN42" s="10">
        <v>219311.15862667208</v>
      </c>
      <c r="AO42" s="10">
        <v>230276.72101176949</v>
      </c>
      <c r="AP42" s="16">
        <f t="shared" si="1"/>
        <v>658455.64504610409</v>
      </c>
    </row>
    <row r="43" spans="1:42" x14ac:dyDescent="0.25">
      <c r="A43" s="6" t="s">
        <v>40</v>
      </c>
      <c r="B43" s="6" t="s">
        <v>18</v>
      </c>
      <c r="C43" s="6" t="s">
        <v>19</v>
      </c>
      <c r="D43" s="7" t="s">
        <v>20</v>
      </c>
      <c r="E43" s="7" t="s">
        <v>21</v>
      </c>
      <c r="F43" s="7" t="s">
        <v>22</v>
      </c>
      <c r="G43" s="7" t="s">
        <v>23</v>
      </c>
      <c r="H43" s="7" t="s">
        <v>41</v>
      </c>
      <c r="I43" s="6" t="s">
        <v>25</v>
      </c>
      <c r="J43" s="6"/>
      <c r="K43" s="6" t="s">
        <v>50</v>
      </c>
      <c r="L43" s="6" t="s">
        <v>51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17020.117775300743</v>
      </c>
      <c r="AN43" s="10">
        <v>17871.123169203132</v>
      </c>
      <c r="AO43" s="10">
        <v>18764.68675060297</v>
      </c>
      <c r="AP43" s="16">
        <f t="shared" si="1"/>
        <v>53655.927695106846</v>
      </c>
    </row>
    <row r="44" spans="1:42" x14ac:dyDescent="0.25">
      <c r="A44" s="6" t="s">
        <v>42</v>
      </c>
      <c r="B44" s="6" t="s">
        <v>18</v>
      </c>
      <c r="C44" s="6" t="s">
        <v>19</v>
      </c>
      <c r="D44" s="7" t="s">
        <v>20</v>
      </c>
      <c r="E44" s="7" t="s">
        <v>21</v>
      </c>
      <c r="F44" s="7" t="s">
        <v>22</v>
      </c>
      <c r="G44" s="7" t="s">
        <v>23</v>
      </c>
      <c r="H44" s="7" t="s">
        <v>43</v>
      </c>
      <c r="I44" s="6" t="s">
        <v>25</v>
      </c>
      <c r="J44" s="6"/>
      <c r="K44" s="6" t="s">
        <v>50</v>
      </c>
      <c r="L44" s="6" t="s">
        <v>51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77658.567293113345</v>
      </c>
      <c r="AN44" s="10">
        <v>81541.497142356937</v>
      </c>
      <c r="AO44" s="10">
        <v>85618.571504612148</v>
      </c>
      <c r="AP44" s="16">
        <f t="shared" si="1"/>
        <v>244818.63594008243</v>
      </c>
    </row>
    <row r="45" spans="1:42" x14ac:dyDescent="0.25">
      <c r="A45" s="6" t="s">
        <v>17</v>
      </c>
      <c r="B45" s="6" t="s">
        <v>18</v>
      </c>
      <c r="C45" s="6" t="s">
        <v>19</v>
      </c>
      <c r="D45" s="7" t="s">
        <v>20</v>
      </c>
      <c r="E45" s="7" t="s">
        <v>21</v>
      </c>
      <c r="F45" s="7" t="s">
        <v>22</v>
      </c>
      <c r="G45" s="7" t="s">
        <v>23</v>
      </c>
      <c r="H45" s="7" t="s">
        <v>24</v>
      </c>
      <c r="I45" s="6" t="s">
        <v>25</v>
      </c>
      <c r="J45" s="6"/>
      <c r="K45" s="6" t="s">
        <v>52</v>
      </c>
      <c r="L45" s="6" t="s">
        <v>53</v>
      </c>
      <c r="M45" s="10">
        <v>132.76175048621465</v>
      </c>
      <c r="N45" s="10">
        <v>132.76175048621465</v>
      </c>
      <c r="O45" s="10">
        <v>132.76175048621465</v>
      </c>
      <c r="P45" s="10">
        <v>132.76175048621465</v>
      </c>
      <c r="Q45" s="10">
        <v>132.76175048621465</v>
      </c>
      <c r="R45" s="10">
        <v>132.76175048621465</v>
      </c>
      <c r="S45" s="10">
        <v>132.76175048621465</v>
      </c>
      <c r="T45" s="10">
        <v>132.76175048621465</v>
      </c>
      <c r="U45" s="10">
        <v>132.76175048621465</v>
      </c>
      <c r="V45" s="10">
        <v>132.76175048621465</v>
      </c>
      <c r="W45" s="10">
        <v>132.76175048621465</v>
      </c>
      <c r="X45" s="10">
        <v>132.76175048621465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1593.1410058345755</v>
      </c>
      <c r="AL45" s="10">
        <v>0</v>
      </c>
      <c r="AM45" s="10">
        <v>1756.4753705486064</v>
      </c>
      <c r="AN45" s="10">
        <v>1844.3035928398444</v>
      </c>
      <c r="AO45" s="10">
        <v>1936.5162981686099</v>
      </c>
      <c r="AP45" s="16">
        <f t="shared" si="1"/>
        <v>7130.4362673916366</v>
      </c>
    </row>
    <row r="46" spans="1:42" x14ac:dyDescent="0.25">
      <c r="A46" s="6" t="s">
        <v>28</v>
      </c>
      <c r="B46" s="6" t="s">
        <v>18</v>
      </c>
      <c r="C46" s="6" t="s">
        <v>19</v>
      </c>
      <c r="D46" s="7" t="s">
        <v>20</v>
      </c>
      <c r="E46" s="7" t="s">
        <v>21</v>
      </c>
      <c r="F46" s="7" t="s">
        <v>22</v>
      </c>
      <c r="G46" s="7" t="s">
        <v>23</v>
      </c>
      <c r="H46" s="7" t="s">
        <v>29</v>
      </c>
      <c r="I46" s="6" t="s">
        <v>25</v>
      </c>
      <c r="J46" s="6"/>
      <c r="K46" s="6" t="s">
        <v>52</v>
      </c>
      <c r="L46" s="6" t="s">
        <v>53</v>
      </c>
      <c r="M46" s="10">
        <v>44244.016276747541</v>
      </c>
      <c r="N46" s="10">
        <v>44244.016276747541</v>
      </c>
      <c r="O46" s="10">
        <v>44244.016276747541</v>
      </c>
      <c r="P46" s="10">
        <v>44244.016276747541</v>
      </c>
      <c r="Q46" s="10">
        <v>44244.016276747541</v>
      </c>
      <c r="R46" s="10">
        <v>44244.016276747541</v>
      </c>
      <c r="S46" s="10">
        <v>44244.016276747541</v>
      </c>
      <c r="T46" s="10">
        <v>44244.016276747541</v>
      </c>
      <c r="U46" s="10">
        <v>44244.016276747541</v>
      </c>
      <c r="V46" s="10">
        <v>44244.016276747541</v>
      </c>
      <c r="W46" s="10">
        <v>44244.016276747541</v>
      </c>
      <c r="X46" s="10">
        <v>44244.016276747541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530928.19532097061</v>
      </c>
      <c r="AL46" s="10">
        <v>0</v>
      </c>
      <c r="AM46" s="10">
        <v>585348.34929649648</v>
      </c>
      <c r="AN46" s="10">
        <v>614615.76329728286</v>
      </c>
      <c r="AO46" s="10">
        <v>645346.55542104819</v>
      </c>
      <c r="AP46" s="16">
        <f t="shared" si="1"/>
        <v>2376238.863335798</v>
      </c>
    </row>
    <row r="47" spans="1:42" x14ac:dyDescent="0.25">
      <c r="A47" s="6" t="s">
        <v>30</v>
      </c>
      <c r="B47" s="6" t="s">
        <v>18</v>
      </c>
      <c r="C47" s="6" t="s">
        <v>19</v>
      </c>
      <c r="D47" s="7" t="s">
        <v>20</v>
      </c>
      <c r="E47" s="7" t="s">
        <v>21</v>
      </c>
      <c r="F47" s="7" t="s">
        <v>22</v>
      </c>
      <c r="G47" s="7" t="s">
        <v>23</v>
      </c>
      <c r="H47" s="7" t="s">
        <v>31</v>
      </c>
      <c r="I47" s="6" t="s">
        <v>25</v>
      </c>
      <c r="J47" s="6"/>
      <c r="K47" s="6" t="s">
        <v>52</v>
      </c>
      <c r="L47" s="6" t="s">
        <v>53</v>
      </c>
      <c r="M47" s="10">
        <v>16682.136485800685</v>
      </c>
      <c r="N47" s="10">
        <v>16682.136485800685</v>
      </c>
      <c r="O47" s="10">
        <v>16682.136485800685</v>
      </c>
      <c r="P47" s="10">
        <v>16682.136485800685</v>
      </c>
      <c r="Q47" s="10">
        <v>16682.136485800685</v>
      </c>
      <c r="R47" s="10">
        <v>16682.136485800685</v>
      </c>
      <c r="S47" s="10">
        <v>16682.136485800685</v>
      </c>
      <c r="T47" s="10">
        <v>16682.136485800685</v>
      </c>
      <c r="U47" s="10">
        <v>16682.136485800685</v>
      </c>
      <c r="V47" s="10">
        <v>16682.136485800685</v>
      </c>
      <c r="W47" s="10">
        <v>16682.136485800685</v>
      </c>
      <c r="X47" s="10">
        <v>16682.136485800685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200185.63782960828</v>
      </c>
      <c r="AL47" s="10">
        <v>0</v>
      </c>
      <c r="AM47" s="10">
        <v>220704.60276061459</v>
      </c>
      <c r="AN47" s="10">
        <v>231739.83190892002</v>
      </c>
      <c r="AO47" s="10">
        <v>243326.82300950339</v>
      </c>
      <c r="AP47" s="16">
        <f t="shared" si="1"/>
        <v>895956.89550864638</v>
      </c>
    </row>
    <row r="48" spans="1:42" x14ac:dyDescent="0.25">
      <c r="A48" s="6" t="s">
        <v>32</v>
      </c>
      <c r="B48" s="6" t="s">
        <v>18</v>
      </c>
      <c r="C48" s="6" t="s">
        <v>19</v>
      </c>
      <c r="D48" s="7" t="s">
        <v>20</v>
      </c>
      <c r="E48" s="7" t="s">
        <v>21</v>
      </c>
      <c r="F48" s="7" t="s">
        <v>22</v>
      </c>
      <c r="G48" s="7" t="s">
        <v>23</v>
      </c>
      <c r="H48" s="7" t="s">
        <v>33</v>
      </c>
      <c r="I48" s="6" t="s">
        <v>25</v>
      </c>
      <c r="J48" s="6"/>
      <c r="K48" s="6" t="s">
        <v>52</v>
      </c>
      <c r="L48" s="6" t="s">
        <v>53</v>
      </c>
      <c r="M48" s="10">
        <v>4311.6491533893723</v>
      </c>
      <c r="N48" s="10">
        <v>4311.6491533893723</v>
      </c>
      <c r="O48" s="10">
        <v>4311.6491533893723</v>
      </c>
      <c r="P48" s="10">
        <v>4311.6491533893723</v>
      </c>
      <c r="Q48" s="10">
        <v>4311.6491533893723</v>
      </c>
      <c r="R48" s="10">
        <v>4311.6491533893723</v>
      </c>
      <c r="S48" s="10">
        <v>4311.6491533893723</v>
      </c>
      <c r="T48" s="10">
        <v>4311.6491533893723</v>
      </c>
      <c r="U48" s="10">
        <v>4311.6491533893723</v>
      </c>
      <c r="V48" s="10">
        <v>4311.6491533893723</v>
      </c>
      <c r="W48" s="10">
        <v>4311.6491533893723</v>
      </c>
      <c r="X48" s="10">
        <v>4311.6491533893723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51739.789840672485</v>
      </c>
      <c r="AL48" s="10">
        <v>0</v>
      </c>
      <c r="AM48" s="10">
        <v>57043.173427040092</v>
      </c>
      <c r="AN48" s="10">
        <v>59895.334077842672</v>
      </c>
      <c r="AO48" s="10">
        <v>62890.104245773327</v>
      </c>
      <c r="AP48" s="16">
        <f t="shared" si="1"/>
        <v>231568.40159132855</v>
      </c>
    </row>
    <row r="49" spans="1:42" x14ac:dyDescent="0.25">
      <c r="A49" s="6" t="s">
        <v>34</v>
      </c>
      <c r="B49" s="6" t="s">
        <v>18</v>
      </c>
      <c r="C49" s="6" t="s">
        <v>19</v>
      </c>
      <c r="D49" s="7" t="s">
        <v>20</v>
      </c>
      <c r="E49" s="7" t="s">
        <v>21</v>
      </c>
      <c r="F49" s="7" t="s">
        <v>22</v>
      </c>
      <c r="G49" s="7" t="s">
        <v>23</v>
      </c>
      <c r="H49" s="7" t="s">
        <v>35</v>
      </c>
      <c r="I49" s="6" t="s">
        <v>25</v>
      </c>
      <c r="J49" s="6"/>
      <c r="K49" s="6" t="s">
        <v>52</v>
      </c>
      <c r="L49" s="6" t="s">
        <v>53</v>
      </c>
      <c r="M49" s="10">
        <v>33918.271703036131</v>
      </c>
      <c r="N49" s="10">
        <v>33918.271703036131</v>
      </c>
      <c r="O49" s="10">
        <v>33918.271703036131</v>
      </c>
      <c r="P49" s="10">
        <v>33918.271703036131</v>
      </c>
      <c r="Q49" s="10">
        <v>33918.271703036131</v>
      </c>
      <c r="R49" s="10">
        <v>33918.271703036131</v>
      </c>
      <c r="S49" s="10">
        <v>33918.271703036131</v>
      </c>
      <c r="T49" s="10">
        <v>33918.271703036131</v>
      </c>
      <c r="U49" s="10">
        <v>33918.271703036131</v>
      </c>
      <c r="V49" s="10">
        <v>33918.271703036131</v>
      </c>
      <c r="W49" s="10">
        <v>33918.271703036131</v>
      </c>
      <c r="X49" s="10">
        <v>33918.271703036131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407019.26043643366</v>
      </c>
      <c r="AL49" s="10">
        <v>0</v>
      </c>
      <c r="AM49" s="10">
        <v>448738.77451709722</v>
      </c>
      <c r="AN49" s="10">
        <v>471175.71819157846</v>
      </c>
      <c r="AO49" s="10">
        <v>494734.50558574544</v>
      </c>
      <c r="AP49" s="16">
        <f t="shared" si="1"/>
        <v>1821668.2587308548</v>
      </c>
    </row>
    <row r="50" spans="1:42" x14ac:dyDescent="0.25">
      <c r="A50" s="6" t="s">
        <v>38</v>
      </c>
      <c r="B50" s="6" t="s">
        <v>18</v>
      </c>
      <c r="C50" s="6" t="s">
        <v>19</v>
      </c>
      <c r="D50" s="7" t="s">
        <v>20</v>
      </c>
      <c r="E50" s="7" t="s">
        <v>21</v>
      </c>
      <c r="F50" s="7" t="s">
        <v>22</v>
      </c>
      <c r="G50" s="7" t="s">
        <v>23</v>
      </c>
      <c r="H50" s="7" t="s">
        <v>39</v>
      </c>
      <c r="I50" s="6" t="s">
        <v>25</v>
      </c>
      <c r="J50" s="6"/>
      <c r="K50" s="6" t="s">
        <v>52</v>
      </c>
      <c r="L50" s="6" t="s">
        <v>53</v>
      </c>
      <c r="M50" s="10">
        <v>22609.947655284879</v>
      </c>
      <c r="N50" s="10">
        <v>22609.947655284879</v>
      </c>
      <c r="O50" s="10">
        <v>22609.947655284879</v>
      </c>
      <c r="P50" s="10">
        <v>22609.947655284879</v>
      </c>
      <c r="Q50" s="10">
        <v>22609.947655284879</v>
      </c>
      <c r="R50" s="10">
        <v>22609.947655284879</v>
      </c>
      <c r="S50" s="10">
        <v>22609.947655284879</v>
      </c>
      <c r="T50" s="10">
        <v>22609.947655284879</v>
      </c>
      <c r="U50" s="10">
        <v>22609.947655284879</v>
      </c>
      <c r="V50" s="10">
        <v>22609.947655284879</v>
      </c>
      <c r="W50" s="10">
        <v>22609.947655284879</v>
      </c>
      <c r="X50" s="10">
        <v>22609.947655284879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271319.37186341849</v>
      </c>
      <c r="AL50" s="10">
        <v>0</v>
      </c>
      <c r="AM50" s="10">
        <v>299129.61331879819</v>
      </c>
      <c r="AN50" s="10">
        <v>314086.09447960072</v>
      </c>
      <c r="AO50" s="10">
        <v>329790.39227550372</v>
      </c>
      <c r="AP50" s="16">
        <f t="shared" si="1"/>
        <v>1214325.4719373211</v>
      </c>
    </row>
    <row r="51" spans="1:42" x14ac:dyDescent="0.25">
      <c r="A51" s="6" t="s">
        <v>40</v>
      </c>
      <c r="B51" s="6" t="s">
        <v>18</v>
      </c>
      <c r="C51" s="6" t="s">
        <v>19</v>
      </c>
      <c r="D51" s="7" t="s">
        <v>20</v>
      </c>
      <c r="E51" s="7" t="s">
        <v>21</v>
      </c>
      <c r="F51" s="7" t="s">
        <v>22</v>
      </c>
      <c r="G51" s="7" t="s">
        <v>23</v>
      </c>
      <c r="H51" s="7" t="s">
        <v>41</v>
      </c>
      <c r="I51" s="6" t="s">
        <v>25</v>
      </c>
      <c r="J51" s="6"/>
      <c r="K51" s="6" t="s">
        <v>52</v>
      </c>
      <c r="L51" s="6" t="s">
        <v>53</v>
      </c>
      <c r="M51" s="10">
        <v>1616.1224270831963</v>
      </c>
      <c r="N51" s="10">
        <v>1616.1224270831963</v>
      </c>
      <c r="O51" s="10">
        <v>1616.1224270831963</v>
      </c>
      <c r="P51" s="10">
        <v>1616.1224270831963</v>
      </c>
      <c r="Q51" s="10">
        <v>1616.1224270831963</v>
      </c>
      <c r="R51" s="10">
        <v>1616.1224270831963</v>
      </c>
      <c r="S51" s="10">
        <v>1616.1224270831963</v>
      </c>
      <c r="T51" s="10">
        <v>1616.1224270831963</v>
      </c>
      <c r="U51" s="10">
        <v>1616.1224270831963</v>
      </c>
      <c r="V51" s="10">
        <v>1616.1224270831963</v>
      </c>
      <c r="W51" s="10">
        <v>1616.1224270831963</v>
      </c>
      <c r="X51" s="10">
        <v>1616.1224270831963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19393.469124998355</v>
      </c>
      <c r="AL51" s="10">
        <v>0</v>
      </c>
      <c r="AM51" s="10">
        <v>21381.253193222026</v>
      </c>
      <c r="AN51" s="10">
        <v>22450.314863157837</v>
      </c>
      <c r="AO51" s="10">
        <v>23572.831596041018</v>
      </c>
      <c r="AP51" s="16">
        <f t="shared" si="1"/>
        <v>86797.868777419237</v>
      </c>
    </row>
    <row r="52" spans="1:42" x14ac:dyDescent="0.25">
      <c r="A52" s="6" t="s">
        <v>17</v>
      </c>
      <c r="B52" s="6" t="s">
        <v>18</v>
      </c>
      <c r="C52" s="6" t="s">
        <v>19</v>
      </c>
      <c r="D52" s="7" t="s">
        <v>20</v>
      </c>
      <c r="E52" s="7" t="s">
        <v>21</v>
      </c>
      <c r="F52" s="7" t="s">
        <v>22</v>
      </c>
      <c r="G52" s="7" t="s">
        <v>23</v>
      </c>
      <c r="H52" s="7" t="s">
        <v>24</v>
      </c>
      <c r="I52" s="6" t="s">
        <v>25</v>
      </c>
      <c r="J52" s="6"/>
      <c r="K52" s="6" t="s">
        <v>54</v>
      </c>
      <c r="L52" s="6" t="s">
        <v>55</v>
      </c>
      <c r="M52" s="10">
        <v>149.78502548519256</v>
      </c>
      <c r="N52" s="10">
        <v>149.78502548519256</v>
      </c>
      <c r="O52" s="10">
        <v>149.78502548519256</v>
      </c>
      <c r="P52" s="10">
        <v>149.78502548519256</v>
      </c>
      <c r="Q52" s="10">
        <v>149.78502548519256</v>
      </c>
      <c r="R52" s="10">
        <v>149.78502548519256</v>
      </c>
      <c r="S52" s="10">
        <v>149.78502548519256</v>
      </c>
      <c r="T52" s="10">
        <v>149.78502548519256</v>
      </c>
      <c r="U52" s="10">
        <v>149.78502548519256</v>
      </c>
      <c r="V52" s="10">
        <v>149.78502548519256</v>
      </c>
      <c r="W52" s="10">
        <v>149.78502548519256</v>
      </c>
      <c r="X52" s="10">
        <v>149.78502548519256</v>
      </c>
      <c r="Y52" s="10">
        <v>157.27724593532409</v>
      </c>
      <c r="Z52" s="10">
        <v>157.27724593532409</v>
      </c>
      <c r="AA52" s="10">
        <v>157.27724593532409</v>
      </c>
      <c r="AB52" s="10">
        <v>157.27724593532409</v>
      </c>
      <c r="AC52" s="10">
        <v>157.27724593532409</v>
      </c>
      <c r="AD52" s="10">
        <v>157.27724593532409</v>
      </c>
      <c r="AE52" s="10">
        <v>157.27724593532409</v>
      </c>
      <c r="AF52" s="10">
        <v>157.27724593532409</v>
      </c>
      <c r="AG52" s="10">
        <v>157.27724593532409</v>
      </c>
      <c r="AH52" s="10">
        <v>157.27724593532409</v>
      </c>
      <c r="AI52" s="10">
        <v>157.27724593532409</v>
      </c>
      <c r="AJ52" s="10">
        <v>157.27724593532409</v>
      </c>
      <c r="AK52" s="10">
        <v>1797.4203058223104</v>
      </c>
      <c r="AL52" s="10">
        <v>1887.3269512238894</v>
      </c>
      <c r="AM52" s="10">
        <v>1981.6378741688079</v>
      </c>
      <c r="AN52" s="10">
        <v>2080.719273014603</v>
      </c>
      <c r="AO52" s="10">
        <v>2184.7591955664957</v>
      </c>
      <c r="AP52" s="16">
        <f t="shared" si="1"/>
        <v>9931.8635997961064</v>
      </c>
    </row>
    <row r="53" spans="1:42" x14ac:dyDescent="0.25">
      <c r="A53" s="6" t="s">
        <v>28</v>
      </c>
      <c r="B53" s="6" t="s">
        <v>18</v>
      </c>
      <c r="C53" s="6" t="s">
        <v>19</v>
      </c>
      <c r="D53" s="7" t="s">
        <v>20</v>
      </c>
      <c r="E53" s="7" t="s">
        <v>21</v>
      </c>
      <c r="F53" s="7" t="s">
        <v>22</v>
      </c>
      <c r="G53" s="7" t="s">
        <v>23</v>
      </c>
      <c r="H53" s="7" t="s">
        <v>29</v>
      </c>
      <c r="I53" s="6" t="s">
        <v>25</v>
      </c>
      <c r="J53" s="6"/>
      <c r="K53" s="6" t="s">
        <v>54</v>
      </c>
      <c r="L53" s="6" t="s">
        <v>55</v>
      </c>
      <c r="M53" s="10">
        <v>48388.768054376589</v>
      </c>
      <c r="N53" s="10">
        <v>48388.768054376589</v>
      </c>
      <c r="O53" s="10">
        <v>48388.768054376589</v>
      </c>
      <c r="P53" s="10">
        <v>48388.768054376589</v>
      </c>
      <c r="Q53" s="10">
        <v>48388.768054376589</v>
      </c>
      <c r="R53" s="10">
        <v>48388.768054376589</v>
      </c>
      <c r="S53" s="10">
        <v>48388.768054376589</v>
      </c>
      <c r="T53" s="10">
        <v>48388.768054376589</v>
      </c>
      <c r="U53" s="10">
        <v>48388.768054376589</v>
      </c>
      <c r="V53" s="10">
        <v>48388.768054376589</v>
      </c>
      <c r="W53" s="10">
        <v>48388.768054376589</v>
      </c>
      <c r="X53" s="10">
        <v>48388.768054376589</v>
      </c>
      <c r="Y53" s="10">
        <v>50808.201013606318</v>
      </c>
      <c r="Z53" s="10">
        <v>50808.201013606318</v>
      </c>
      <c r="AA53" s="10">
        <v>50808.201013606318</v>
      </c>
      <c r="AB53" s="10">
        <v>50808.201013606318</v>
      </c>
      <c r="AC53" s="10">
        <v>50808.201013606318</v>
      </c>
      <c r="AD53" s="10">
        <v>50808.201013606318</v>
      </c>
      <c r="AE53" s="10">
        <v>50808.201013606318</v>
      </c>
      <c r="AF53" s="10">
        <v>50808.201013606318</v>
      </c>
      <c r="AG53" s="10">
        <v>50808.201013606318</v>
      </c>
      <c r="AH53" s="10">
        <v>50808.201013606318</v>
      </c>
      <c r="AI53" s="10">
        <v>50808.201013606318</v>
      </c>
      <c r="AJ53" s="10">
        <v>50808.201013606318</v>
      </c>
      <c r="AK53" s="10">
        <v>580665.21665251895</v>
      </c>
      <c r="AL53" s="10">
        <v>609698.41216327599</v>
      </c>
      <c r="AM53" s="10">
        <v>640183.39611385821</v>
      </c>
      <c r="AN53" s="10">
        <v>672192.5570120234</v>
      </c>
      <c r="AO53" s="10">
        <v>705802.19278042694</v>
      </c>
      <c r="AP53" s="16">
        <f t="shared" si="1"/>
        <v>3208541.774722103</v>
      </c>
    </row>
    <row r="54" spans="1:42" x14ac:dyDescent="0.25">
      <c r="A54" s="6" t="s">
        <v>30</v>
      </c>
      <c r="B54" s="6" t="s">
        <v>18</v>
      </c>
      <c r="C54" s="6" t="s">
        <v>19</v>
      </c>
      <c r="D54" s="7" t="s">
        <v>20</v>
      </c>
      <c r="E54" s="7" t="s">
        <v>21</v>
      </c>
      <c r="F54" s="7" t="s">
        <v>22</v>
      </c>
      <c r="G54" s="7" t="s">
        <v>23</v>
      </c>
      <c r="H54" s="7" t="s">
        <v>31</v>
      </c>
      <c r="I54" s="6" t="s">
        <v>25</v>
      </c>
      <c r="J54" s="6"/>
      <c r="K54" s="6" t="s">
        <v>54</v>
      </c>
      <c r="L54" s="6" t="s">
        <v>55</v>
      </c>
      <c r="M54" s="10">
        <v>19351.118779811943</v>
      </c>
      <c r="N54" s="10">
        <v>19351.118779811943</v>
      </c>
      <c r="O54" s="10">
        <v>19351.118779811943</v>
      </c>
      <c r="P54" s="10">
        <v>19351.118779811943</v>
      </c>
      <c r="Q54" s="10">
        <v>19351.118779811943</v>
      </c>
      <c r="R54" s="10">
        <v>19351.118779811943</v>
      </c>
      <c r="S54" s="10">
        <v>19351.118779811943</v>
      </c>
      <c r="T54" s="10">
        <v>19351.118779811943</v>
      </c>
      <c r="U54" s="10">
        <v>19351.118779811943</v>
      </c>
      <c r="V54" s="10">
        <v>19351.118779811943</v>
      </c>
      <c r="W54" s="10">
        <v>19351.118779811943</v>
      </c>
      <c r="X54" s="10">
        <v>19351.118779811943</v>
      </c>
      <c r="Y54" s="10">
        <v>20318.674223939895</v>
      </c>
      <c r="Z54" s="10">
        <v>20318.674223939895</v>
      </c>
      <c r="AA54" s="10">
        <v>20318.674223939895</v>
      </c>
      <c r="AB54" s="10">
        <v>20318.674223939895</v>
      </c>
      <c r="AC54" s="10">
        <v>20318.674223939895</v>
      </c>
      <c r="AD54" s="10">
        <v>20318.674223939895</v>
      </c>
      <c r="AE54" s="10">
        <v>20318.674223939895</v>
      </c>
      <c r="AF54" s="10">
        <v>20318.674223939895</v>
      </c>
      <c r="AG54" s="10">
        <v>20318.674223939895</v>
      </c>
      <c r="AH54" s="10">
        <v>20318.674223939895</v>
      </c>
      <c r="AI54" s="10">
        <v>20318.674223939895</v>
      </c>
      <c r="AJ54" s="10">
        <v>20318.674223939895</v>
      </c>
      <c r="AK54" s="10">
        <v>232213.42535774334</v>
      </c>
      <c r="AL54" s="10">
        <v>243824.09068727869</v>
      </c>
      <c r="AM54" s="10">
        <v>256015.30907779676</v>
      </c>
      <c r="AN54" s="10">
        <v>268816.07948031306</v>
      </c>
      <c r="AO54" s="10">
        <v>282256.87553652638</v>
      </c>
      <c r="AP54" s="16">
        <f t="shared" si="1"/>
        <v>1283125.7801396581</v>
      </c>
    </row>
    <row r="55" spans="1:42" x14ac:dyDescent="0.25">
      <c r="A55" s="6" t="s">
        <v>32</v>
      </c>
      <c r="B55" s="6" t="s">
        <v>18</v>
      </c>
      <c r="C55" s="6" t="s">
        <v>19</v>
      </c>
      <c r="D55" s="7" t="s">
        <v>20</v>
      </c>
      <c r="E55" s="7" t="s">
        <v>21</v>
      </c>
      <c r="F55" s="7" t="s">
        <v>22</v>
      </c>
      <c r="G55" s="7" t="s">
        <v>23</v>
      </c>
      <c r="H55" s="7" t="s">
        <v>33</v>
      </c>
      <c r="I55" s="6" t="s">
        <v>25</v>
      </c>
      <c r="J55" s="6"/>
      <c r="K55" s="6" t="s">
        <v>54</v>
      </c>
      <c r="L55" s="6" t="s">
        <v>55</v>
      </c>
      <c r="M55" s="10">
        <v>4389.52073925679</v>
      </c>
      <c r="N55" s="10">
        <v>4389.52073925679</v>
      </c>
      <c r="O55" s="10">
        <v>4389.52073925679</v>
      </c>
      <c r="P55" s="10">
        <v>4389.52073925679</v>
      </c>
      <c r="Q55" s="10">
        <v>4389.52073925679</v>
      </c>
      <c r="R55" s="10">
        <v>4389.52073925679</v>
      </c>
      <c r="S55" s="10">
        <v>4389.52073925679</v>
      </c>
      <c r="T55" s="10">
        <v>4389.52073925679</v>
      </c>
      <c r="U55" s="10">
        <v>4389.52073925679</v>
      </c>
      <c r="V55" s="10">
        <v>4389.52073925679</v>
      </c>
      <c r="W55" s="10">
        <v>4389.52073925679</v>
      </c>
      <c r="X55" s="10">
        <v>4389.52073925679</v>
      </c>
      <c r="Y55" s="10">
        <v>4609.0022197087292</v>
      </c>
      <c r="Z55" s="10">
        <v>4609.0022197087292</v>
      </c>
      <c r="AA55" s="10">
        <v>4609.0022197087292</v>
      </c>
      <c r="AB55" s="10">
        <v>4609.0022197087292</v>
      </c>
      <c r="AC55" s="10">
        <v>4609.0022197087292</v>
      </c>
      <c r="AD55" s="10">
        <v>4609.0022197087292</v>
      </c>
      <c r="AE55" s="10">
        <v>4609.0022197087292</v>
      </c>
      <c r="AF55" s="10">
        <v>4609.0022197087292</v>
      </c>
      <c r="AG55" s="10">
        <v>4609.0022197087292</v>
      </c>
      <c r="AH55" s="10">
        <v>4609.0022197087292</v>
      </c>
      <c r="AI55" s="10">
        <v>4609.0022197087292</v>
      </c>
      <c r="AJ55" s="10">
        <v>4609.0022197087292</v>
      </c>
      <c r="AK55" s="10">
        <v>52674.248871081472</v>
      </c>
      <c r="AL55" s="10">
        <v>55308.026636504743</v>
      </c>
      <c r="AM55" s="10">
        <v>58073.418071077074</v>
      </c>
      <c r="AN55" s="10">
        <v>60977.09392325738</v>
      </c>
      <c r="AO55" s="10">
        <v>64025.952578321405</v>
      </c>
      <c r="AP55" s="16">
        <f t="shared" si="1"/>
        <v>291058.74008024205</v>
      </c>
    </row>
    <row r="56" spans="1:42" x14ac:dyDescent="0.25">
      <c r="A56" s="6" t="s">
        <v>34</v>
      </c>
      <c r="B56" s="6" t="s">
        <v>18</v>
      </c>
      <c r="C56" s="6" t="s">
        <v>19</v>
      </c>
      <c r="D56" s="7" t="s">
        <v>20</v>
      </c>
      <c r="E56" s="7" t="s">
        <v>21</v>
      </c>
      <c r="F56" s="7" t="s">
        <v>22</v>
      </c>
      <c r="G56" s="7" t="s">
        <v>23</v>
      </c>
      <c r="H56" s="7" t="s">
        <v>35</v>
      </c>
      <c r="I56" s="6" t="s">
        <v>25</v>
      </c>
      <c r="J56" s="6"/>
      <c r="K56" s="6" t="s">
        <v>54</v>
      </c>
      <c r="L56" s="6" t="s">
        <v>55</v>
      </c>
      <c r="M56" s="10">
        <v>38598.593527188255</v>
      </c>
      <c r="N56" s="10">
        <v>38598.593527188255</v>
      </c>
      <c r="O56" s="10">
        <v>38598.593527188255</v>
      </c>
      <c r="P56" s="10">
        <v>38598.593527188255</v>
      </c>
      <c r="Q56" s="10">
        <v>38598.593527188255</v>
      </c>
      <c r="R56" s="10">
        <v>38598.593527188255</v>
      </c>
      <c r="S56" s="10">
        <v>38598.593527188255</v>
      </c>
      <c r="T56" s="10">
        <v>38598.593527188255</v>
      </c>
      <c r="U56" s="10">
        <v>38598.593527188255</v>
      </c>
      <c r="V56" s="10">
        <v>38598.593527188255</v>
      </c>
      <c r="W56" s="10">
        <v>38598.593527188255</v>
      </c>
      <c r="X56" s="10">
        <v>38598.593527188255</v>
      </c>
      <c r="Y56" s="10">
        <v>40528.52815217412</v>
      </c>
      <c r="Z56" s="10">
        <v>40528.52815217412</v>
      </c>
      <c r="AA56" s="10">
        <v>40528.52815217412</v>
      </c>
      <c r="AB56" s="10">
        <v>40528.52815217412</v>
      </c>
      <c r="AC56" s="10">
        <v>40528.52815217412</v>
      </c>
      <c r="AD56" s="10">
        <v>40528.52815217412</v>
      </c>
      <c r="AE56" s="10">
        <v>40528.52815217412</v>
      </c>
      <c r="AF56" s="10">
        <v>40528.52815217412</v>
      </c>
      <c r="AG56" s="10">
        <v>40528.52815217412</v>
      </c>
      <c r="AH56" s="10">
        <v>40528.52815217412</v>
      </c>
      <c r="AI56" s="10">
        <v>40528.52815217412</v>
      </c>
      <c r="AJ56" s="10">
        <v>40528.52815217412</v>
      </c>
      <c r="AK56" s="10">
        <v>463183.12232625892</v>
      </c>
      <c r="AL56" s="10">
        <v>486342.33782608958</v>
      </c>
      <c r="AM56" s="10">
        <v>510659.42304618459</v>
      </c>
      <c r="AN56" s="10">
        <v>536192.39568308182</v>
      </c>
      <c r="AO56" s="10">
        <v>563002.01497237314</v>
      </c>
      <c r="AP56" s="16">
        <f t="shared" si="1"/>
        <v>2559379.2938539879</v>
      </c>
    </row>
    <row r="57" spans="1:42" x14ac:dyDescent="0.25">
      <c r="A57" s="6" t="s">
        <v>38</v>
      </c>
      <c r="B57" s="6" t="s">
        <v>18</v>
      </c>
      <c r="C57" s="6" t="s">
        <v>19</v>
      </c>
      <c r="D57" s="7" t="s">
        <v>20</v>
      </c>
      <c r="E57" s="7" t="s">
        <v>21</v>
      </c>
      <c r="F57" s="7" t="s">
        <v>22</v>
      </c>
      <c r="G57" s="7" t="s">
        <v>23</v>
      </c>
      <c r="H57" s="7" t="s">
        <v>39</v>
      </c>
      <c r="I57" s="6" t="s">
        <v>25</v>
      </c>
      <c r="J57" s="6"/>
      <c r="K57" s="6" t="s">
        <v>54</v>
      </c>
      <c r="L57" s="6" t="s">
        <v>55</v>
      </c>
      <c r="M57" s="10">
        <v>26873.852460653863</v>
      </c>
      <c r="N57" s="10">
        <v>26873.852460653863</v>
      </c>
      <c r="O57" s="10">
        <v>26873.852460653863</v>
      </c>
      <c r="P57" s="10">
        <v>26873.852460653863</v>
      </c>
      <c r="Q57" s="10">
        <v>26873.852460653863</v>
      </c>
      <c r="R57" s="10">
        <v>26873.852460653863</v>
      </c>
      <c r="S57" s="10">
        <v>26873.852460653863</v>
      </c>
      <c r="T57" s="10">
        <v>26873.852460653863</v>
      </c>
      <c r="U57" s="10">
        <v>26873.852460653863</v>
      </c>
      <c r="V57" s="10">
        <v>26873.852460653863</v>
      </c>
      <c r="W57" s="10">
        <v>26873.852460653863</v>
      </c>
      <c r="X57" s="10">
        <v>26873.852460653863</v>
      </c>
      <c r="Y57" s="10">
        <v>28217.543104235978</v>
      </c>
      <c r="Z57" s="10">
        <v>28217.543104235978</v>
      </c>
      <c r="AA57" s="10">
        <v>28217.543104235978</v>
      </c>
      <c r="AB57" s="10">
        <v>28217.543104235978</v>
      </c>
      <c r="AC57" s="10">
        <v>28217.543104235978</v>
      </c>
      <c r="AD57" s="10">
        <v>28217.543104235978</v>
      </c>
      <c r="AE57" s="10">
        <v>28217.543104235978</v>
      </c>
      <c r="AF57" s="10">
        <v>28217.543104235978</v>
      </c>
      <c r="AG57" s="10">
        <v>28217.543104235978</v>
      </c>
      <c r="AH57" s="10">
        <v>28217.543104235978</v>
      </c>
      <c r="AI57" s="10">
        <v>28217.543104235978</v>
      </c>
      <c r="AJ57" s="10">
        <v>28217.543104235978</v>
      </c>
      <c r="AK57" s="10">
        <v>322486.22952784644</v>
      </c>
      <c r="AL57" s="10">
        <v>338610.5172508317</v>
      </c>
      <c r="AM57" s="10">
        <v>355541.04509282386</v>
      </c>
      <c r="AN57" s="10">
        <v>373318.10477040469</v>
      </c>
      <c r="AO57" s="10">
        <v>391984.00703974912</v>
      </c>
      <c r="AP57" s="16">
        <f t="shared" si="1"/>
        <v>1781939.9036816559</v>
      </c>
    </row>
    <row r="58" spans="1:42" x14ac:dyDescent="0.25">
      <c r="A58" s="6" t="s">
        <v>40</v>
      </c>
      <c r="B58" s="6" t="s">
        <v>18</v>
      </c>
      <c r="C58" s="6" t="s">
        <v>19</v>
      </c>
      <c r="D58" s="7" t="s">
        <v>20</v>
      </c>
      <c r="E58" s="7" t="s">
        <v>21</v>
      </c>
      <c r="F58" s="7" t="s">
        <v>22</v>
      </c>
      <c r="G58" s="7" t="s">
        <v>23</v>
      </c>
      <c r="H58" s="7" t="s">
        <v>41</v>
      </c>
      <c r="I58" s="6" t="s">
        <v>25</v>
      </c>
      <c r="J58" s="6"/>
      <c r="K58" s="6" t="s">
        <v>54</v>
      </c>
      <c r="L58" s="6" t="s">
        <v>55</v>
      </c>
      <c r="M58" s="10">
        <v>2189.8859725720017</v>
      </c>
      <c r="N58" s="10">
        <v>2189.8859725720017</v>
      </c>
      <c r="O58" s="10">
        <v>2189.8859725720017</v>
      </c>
      <c r="P58" s="10">
        <v>2189.8859725720017</v>
      </c>
      <c r="Q58" s="10">
        <v>2189.8859725720017</v>
      </c>
      <c r="R58" s="10">
        <v>2189.8859725720017</v>
      </c>
      <c r="S58" s="10">
        <v>2189.8859725720017</v>
      </c>
      <c r="T58" s="10">
        <v>2189.8859725720017</v>
      </c>
      <c r="U58" s="10">
        <v>2189.8859725720017</v>
      </c>
      <c r="V58" s="10">
        <v>2189.8859725720017</v>
      </c>
      <c r="W58" s="10">
        <v>2189.8859725720017</v>
      </c>
      <c r="X58" s="10">
        <v>2189.8859725720017</v>
      </c>
      <c r="Y58" s="10">
        <v>2299.379281475311</v>
      </c>
      <c r="Z58" s="10">
        <v>2299.379281475311</v>
      </c>
      <c r="AA58" s="10">
        <v>2299.379281475311</v>
      </c>
      <c r="AB58" s="10">
        <v>2299.379281475311</v>
      </c>
      <c r="AC58" s="10">
        <v>2299.379281475311</v>
      </c>
      <c r="AD58" s="10">
        <v>2299.379281475311</v>
      </c>
      <c r="AE58" s="10">
        <v>2299.379281475311</v>
      </c>
      <c r="AF58" s="10">
        <v>2299.379281475311</v>
      </c>
      <c r="AG58" s="10">
        <v>2299.379281475311</v>
      </c>
      <c r="AH58" s="10">
        <v>2299.379281475311</v>
      </c>
      <c r="AI58" s="10">
        <v>2299.379281475311</v>
      </c>
      <c r="AJ58" s="10">
        <v>2299.379281475311</v>
      </c>
      <c r="AK58" s="10">
        <v>26278.631670864012</v>
      </c>
      <c r="AL58" s="10">
        <v>27592.551377703734</v>
      </c>
      <c r="AM58" s="10">
        <v>28972.169049336015</v>
      </c>
      <c r="AN58" s="10">
        <v>30420.780470978691</v>
      </c>
      <c r="AO58" s="10">
        <v>31941.810092137359</v>
      </c>
      <c r="AP58" s="16">
        <f t="shared" si="1"/>
        <v>145205.9426610198</v>
      </c>
    </row>
    <row r="59" spans="1:42" x14ac:dyDescent="0.25">
      <c r="A59" s="6" t="s">
        <v>42</v>
      </c>
      <c r="B59" s="6" t="s">
        <v>18</v>
      </c>
      <c r="C59" s="6" t="s">
        <v>19</v>
      </c>
      <c r="D59" s="7" t="s">
        <v>20</v>
      </c>
      <c r="E59" s="7" t="s">
        <v>21</v>
      </c>
      <c r="F59" s="7" t="s">
        <v>22</v>
      </c>
      <c r="G59" s="7" t="s">
        <v>23</v>
      </c>
      <c r="H59" s="7" t="s">
        <v>43</v>
      </c>
      <c r="I59" s="6" t="s">
        <v>25</v>
      </c>
      <c r="J59" s="6"/>
      <c r="K59" s="6" t="s">
        <v>54</v>
      </c>
      <c r="L59" s="6" t="s">
        <v>55</v>
      </c>
      <c r="M59" s="10">
        <v>9991.8904386733175</v>
      </c>
      <c r="N59" s="10">
        <v>9991.8904386733175</v>
      </c>
      <c r="O59" s="10">
        <v>9991.8904386733175</v>
      </c>
      <c r="P59" s="10">
        <v>9991.8904386733175</v>
      </c>
      <c r="Q59" s="10">
        <v>9991.8904386733175</v>
      </c>
      <c r="R59" s="10">
        <v>9991.8904386733175</v>
      </c>
      <c r="S59" s="10">
        <v>9991.8904386733175</v>
      </c>
      <c r="T59" s="10">
        <v>9991.8904386733175</v>
      </c>
      <c r="U59" s="10">
        <v>9991.8904386733175</v>
      </c>
      <c r="V59" s="10">
        <v>9991.8904386733175</v>
      </c>
      <c r="W59" s="10">
        <v>9991.8904386733175</v>
      </c>
      <c r="X59" s="10">
        <v>9991.8904386733175</v>
      </c>
      <c r="Y59" s="10">
        <v>10491.493868134598</v>
      </c>
      <c r="Z59" s="10">
        <v>10491.493868134598</v>
      </c>
      <c r="AA59" s="10">
        <v>10491.493868134598</v>
      </c>
      <c r="AB59" s="10">
        <v>10491.493868134598</v>
      </c>
      <c r="AC59" s="10">
        <v>10491.493868134598</v>
      </c>
      <c r="AD59" s="10">
        <v>10491.493868134598</v>
      </c>
      <c r="AE59" s="10">
        <v>10491.493868134598</v>
      </c>
      <c r="AF59" s="10">
        <v>10491.493868134598</v>
      </c>
      <c r="AG59" s="10">
        <v>10491.493868134598</v>
      </c>
      <c r="AH59" s="10">
        <v>10491.493868134598</v>
      </c>
      <c r="AI59" s="10">
        <v>10491.493868134598</v>
      </c>
      <c r="AJ59" s="10">
        <v>10491.493868134598</v>
      </c>
      <c r="AK59" s="10">
        <v>119902.68526407977</v>
      </c>
      <c r="AL59" s="10">
        <v>125897.92641761519</v>
      </c>
      <c r="AM59" s="10">
        <v>132192.76731387965</v>
      </c>
      <c r="AN59" s="10">
        <v>138802.40023608453</v>
      </c>
      <c r="AO59" s="10">
        <v>145742.52222733933</v>
      </c>
      <c r="AP59" s="16">
        <f t="shared" si="1"/>
        <v>662538.30145899858</v>
      </c>
    </row>
    <row r="60" spans="1:42" x14ac:dyDescent="0.25">
      <c r="A60" s="6" t="s">
        <v>17</v>
      </c>
      <c r="B60" s="6" t="s">
        <v>18</v>
      </c>
      <c r="C60" s="6" t="s">
        <v>19</v>
      </c>
      <c r="D60" s="7" t="s">
        <v>20</v>
      </c>
      <c r="E60" s="7" t="s">
        <v>21</v>
      </c>
      <c r="F60" s="7" t="s">
        <v>22</v>
      </c>
      <c r="G60" s="7" t="s">
        <v>23</v>
      </c>
      <c r="H60" s="7" t="s">
        <v>24</v>
      </c>
      <c r="I60" s="6" t="s">
        <v>25</v>
      </c>
      <c r="J60" s="6"/>
      <c r="K60" s="6" t="s">
        <v>56</v>
      </c>
      <c r="L60" s="6" t="s">
        <v>57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6">
        <f t="shared" si="1"/>
        <v>0</v>
      </c>
    </row>
    <row r="61" spans="1:42" x14ac:dyDescent="0.25">
      <c r="A61" s="6" t="s">
        <v>28</v>
      </c>
      <c r="B61" s="6" t="s">
        <v>18</v>
      </c>
      <c r="C61" s="6" t="s">
        <v>19</v>
      </c>
      <c r="D61" s="7" t="s">
        <v>20</v>
      </c>
      <c r="E61" s="7" t="s">
        <v>21</v>
      </c>
      <c r="F61" s="7" t="s">
        <v>22</v>
      </c>
      <c r="G61" s="7" t="s">
        <v>23</v>
      </c>
      <c r="H61" s="7" t="s">
        <v>29</v>
      </c>
      <c r="I61" s="6" t="s">
        <v>25</v>
      </c>
      <c r="J61" s="6"/>
      <c r="K61" s="6" t="s">
        <v>56</v>
      </c>
      <c r="L61" s="6" t="s">
        <v>57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6">
        <f t="shared" si="1"/>
        <v>0</v>
      </c>
    </row>
    <row r="62" spans="1:42" x14ac:dyDescent="0.25">
      <c r="A62" s="6" t="s">
        <v>30</v>
      </c>
      <c r="B62" s="6" t="s">
        <v>18</v>
      </c>
      <c r="C62" s="6" t="s">
        <v>19</v>
      </c>
      <c r="D62" s="7" t="s">
        <v>20</v>
      </c>
      <c r="E62" s="7" t="s">
        <v>21</v>
      </c>
      <c r="F62" s="7" t="s">
        <v>22</v>
      </c>
      <c r="G62" s="7" t="s">
        <v>23</v>
      </c>
      <c r="H62" s="7" t="s">
        <v>31</v>
      </c>
      <c r="I62" s="6" t="s">
        <v>25</v>
      </c>
      <c r="J62" s="6"/>
      <c r="K62" s="6" t="s">
        <v>56</v>
      </c>
      <c r="L62" s="6" t="s">
        <v>57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6">
        <f t="shared" si="1"/>
        <v>0</v>
      </c>
    </row>
    <row r="63" spans="1:42" x14ac:dyDescent="0.25">
      <c r="A63" s="6" t="s">
        <v>32</v>
      </c>
      <c r="B63" s="6" t="s">
        <v>18</v>
      </c>
      <c r="C63" s="6" t="s">
        <v>19</v>
      </c>
      <c r="D63" s="7" t="s">
        <v>20</v>
      </c>
      <c r="E63" s="7" t="s">
        <v>21</v>
      </c>
      <c r="F63" s="7" t="s">
        <v>22</v>
      </c>
      <c r="G63" s="7" t="s">
        <v>23</v>
      </c>
      <c r="H63" s="7" t="s">
        <v>33</v>
      </c>
      <c r="I63" s="6" t="s">
        <v>25</v>
      </c>
      <c r="J63" s="6"/>
      <c r="K63" s="6" t="s">
        <v>56</v>
      </c>
      <c r="L63" s="6" t="s">
        <v>57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6">
        <f t="shared" si="1"/>
        <v>0</v>
      </c>
    </row>
    <row r="64" spans="1:42" x14ac:dyDescent="0.25">
      <c r="A64" s="6" t="s">
        <v>34</v>
      </c>
      <c r="B64" s="6" t="s">
        <v>18</v>
      </c>
      <c r="C64" s="6" t="s">
        <v>19</v>
      </c>
      <c r="D64" s="7" t="s">
        <v>20</v>
      </c>
      <c r="E64" s="7" t="s">
        <v>21</v>
      </c>
      <c r="F64" s="7" t="s">
        <v>22</v>
      </c>
      <c r="G64" s="7" t="s">
        <v>23</v>
      </c>
      <c r="H64" s="7" t="s">
        <v>35</v>
      </c>
      <c r="I64" s="6" t="s">
        <v>25</v>
      </c>
      <c r="J64" s="6"/>
      <c r="K64" s="6" t="s">
        <v>56</v>
      </c>
      <c r="L64" s="6" t="s">
        <v>57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6">
        <f t="shared" si="1"/>
        <v>0</v>
      </c>
    </row>
    <row r="65" spans="1:42" x14ac:dyDescent="0.25">
      <c r="A65" s="6" t="s">
        <v>36</v>
      </c>
      <c r="B65" s="6" t="s">
        <v>18</v>
      </c>
      <c r="C65" s="6" t="s">
        <v>19</v>
      </c>
      <c r="D65" s="7" t="s">
        <v>20</v>
      </c>
      <c r="E65" s="7" t="s">
        <v>21</v>
      </c>
      <c r="F65" s="7" t="s">
        <v>22</v>
      </c>
      <c r="G65" s="7" t="s">
        <v>23</v>
      </c>
      <c r="H65" s="7" t="s">
        <v>37</v>
      </c>
      <c r="I65" s="6" t="s">
        <v>25</v>
      </c>
      <c r="J65" s="6"/>
      <c r="K65" s="6" t="s">
        <v>56</v>
      </c>
      <c r="L65" s="6" t="s">
        <v>57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6">
        <f t="shared" si="1"/>
        <v>0</v>
      </c>
    </row>
    <row r="66" spans="1:42" x14ac:dyDescent="0.25">
      <c r="A66" s="6" t="s">
        <v>38</v>
      </c>
      <c r="B66" s="6" t="s">
        <v>18</v>
      </c>
      <c r="C66" s="6" t="s">
        <v>19</v>
      </c>
      <c r="D66" s="7" t="s">
        <v>20</v>
      </c>
      <c r="E66" s="7" t="s">
        <v>21</v>
      </c>
      <c r="F66" s="7" t="s">
        <v>22</v>
      </c>
      <c r="G66" s="7" t="s">
        <v>23</v>
      </c>
      <c r="H66" s="7" t="s">
        <v>39</v>
      </c>
      <c r="I66" s="6" t="s">
        <v>25</v>
      </c>
      <c r="J66" s="6"/>
      <c r="K66" s="6" t="s">
        <v>56</v>
      </c>
      <c r="L66" s="6" t="s">
        <v>57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6">
        <f t="shared" si="1"/>
        <v>0</v>
      </c>
    </row>
    <row r="67" spans="1:42" x14ac:dyDescent="0.25">
      <c r="A67" s="6" t="s">
        <v>40</v>
      </c>
      <c r="B67" s="6" t="s">
        <v>18</v>
      </c>
      <c r="C67" s="6" t="s">
        <v>19</v>
      </c>
      <c r="D67" s="7" t="s">
        <v>20</v>
      </c>
      <c r="E67" s="7" t="s">
        <v>21</v>
      </c>
      <c r="F67" s="7" t="s">
        <v>22</v>
      </c>
      <c r="G67" s="7" t="s">
        <v>23</v>
      </c>
      <c r="H67" s="7" t="s">
        <v>41</v>
      </c>
      <c r="I67" s="6" t="s">
        <v>25</v>
      </c>
      <c r="J67" s="6"/>
      <c r="K67" s="6" t="s">
        <v>56</v>
      </c>
      <c r="L67" s="6" t="s">
        <v>57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6">
        <f t="shared" si="1"/>
        <v>0</v>
      </c>
    </row>
    <row r="68" spans="1:42" x14ac:dyDescent="0.25">
      <c r="A68" s="6" t="s">
        <v>58</v>
      </c>
      <c r="B68" s="6" t="s">
        <v>18</v>
      </c>
      <c r="C68" s="6" t="s">
        <v>19</v>
      </c>
      <c r="D68" s="7" t="s">
        <v>20</v>
      </c>
      <c r="E68" s="7" t="s">
        <v>21</v>
      </c>
      <c r="F68" s="7" t="s">
        <v>22</v>
      </c>
      <c r="G68" s="7" t="s">
        <v>23</v>
      </c>
      <c r="H68" s="7" t="s">
        <v>59</v>
      </c>
      <c r="I68" s="6" t="s">
        <v>25</v>
      </c>
      <c r="J68" s="6"/>
      <c r="K68" s="6" t="s">
        <v>56</v>
      </c>
      <c r="L68" s="6" t="s">
        <v>57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6">
        <f t="shared" si="1"/>
        <v>0</v>
      </c>
    </row>
    <row r="69" spans="1:42" x14ac:dyDescent="0.25">
      <c r="A69" s="6" t="s">
        <v>42</v>
      </c>
      <c r="B69" s="6" t="s">
        <v>18</v>
      </c>
      <c r="C69" s="6" t="s">
        <v>19</v>
      </c>
      <c r="D69" s="7" t="s">
        <v>20</v>
      </c>
      <c r="E69" s="7" t="s">
        <v>21</v>
      </c>
      <c r="F69" s="7" t="s">
        <v>22</v>
      </c>
      <c r="G69" s="7" t="s">
        <v>23</v>
      </c>
      <c r="H69" s="7" t="s">
        <v>43</v>
      </c>
      <c r="I69" s="6" t="s">
        <v>25</v>
      </c>
      <c r="J69" s="6"/>
      <c r="K69" s="6" t="s">
        <v>56</v>
      </c>
      <c r="L69" s="6" t="s">
        <v>57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6">
        <f t="shared" ref="AP69:AP132" si="2">SUM(AK69:AO69)</f>
        <v>0</v>
      </c>
    </row>
    <row r="70" spans="1:42" x14ac:dyDescent="0.25">
      <c r="A70" s="6" t="s">
        <v>17</v>
      </c>
      <c r="B70" s="6" t="s">
        <v>18</v>
      </c>
      <c r="C70" s="6" t="s">
        <v>19</v>
      </c>
      <c r="D70" s="7" t="s">
        <v>20</v>
      </c>
      <c r="E70" s="7" t="s">
        <v>21</v>
      </c>
      <c r="F70" s="7" t="s">
        <v>22</v>
      </c>
      <c r="G70" s="7" t="s">
        <v>23</v>
      </c>
      <c r="H70" s="7" t="s">
        <v>24</v>
      </c>
      <c r="I70" s="6" t="s">
        <v>25</v>
      </c>
      <c r="J70" s="6"/>
      <c r="K70" s="6" t="s">
        <v>60</v>
      </c>
      <c r="L70" s="6" t="s">
        <v>61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6">
        <f t="shared" si="2"/>
        <v>0</v>
      </c>
    </row>
    <row r="71" spans="1:42" x14ac:dyDescent="0.25">
      <c r="A71" s="6" t="s">
        <v>28</v>
      </c>
      <c r="B71" s="6" t="s">
        <v>18</v>
      </c>
      <c r="C71" s="6" t="s">
        <v>19</v>
      </c>
      <c r="D71" s="7" t="s">
        <v>20</v>
      </c>
      <c r="E71" s="7" t="s">
        <v>21</v>
      </c>
      <c r="F71" s="7" t="s">
        <v>22</v>
      </c>
      <c r="G71" s="7" t="s">
        <v>23</v>
      </c>
      <c r="H71" s="7" t="s">
        <v>29</v>
      </c>
      <c r="I71" s="6" t="s">
        <v>25</v>
      </c>
      <c r="J71" s="6"/>
      <c r="K71" s="6" t="s">
        <v>60</v>
      </c>
      <c r="L71" s="6" t="s">
        <v>61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6">
        <f t="shared" si="2"/>
        <v>0</v>
      </c>
    </row>
    <row r="72" spans="1:42" x14ac:dyDescent="0.25">
      <c r="A72" s="6" t="s">
        <v>30</v>
      </c>
      <c r="B72" s="6" t="s">
        <v>18</v>
      </c>
      <c r="C72" s="6" t="s">
        <v>19</v>
      </c>
      <c r="D72" s="7" t="s">
        <v>20</v>
      </c>
      <c r="E72" s="7" t="s">
        <v>21</v>
      </c>
      <c r="F72" s="7" t="s">
        <v>22</v>
      </c>
      <c r="G72" s="7" t="s">
        <v>23</v>
      </c>
      <c r="H72" s="7" t="s">
        <v>31</v>
      </c>
      <c r="I72" s="6" t="s">
        <v>25</v>
      </c>
      <c r="J72" s="6"/>
      <c r="K72" s="6" t="s">
        <v>60</v>
      </c>
      <c r="L72" s="6" t="s">
        <v>61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6">
        <f t="shared" si="2"/>
        <v>0</v>
      </c>
    </row>
    <row r="73" spans="1:42" x14ac:dyDescent="0.25">
      <c r="A73" s="6" t="s">
        <v>32</v>
      </c>
      <c r="B73" s="6" t="s">
        <v>18</v>
      </c>
      <c r="C73" s="6" t="s">
        <v>19</v>
      </c>
      <c r="D73" s="7" t="s">
        <v>20</v>
      </c>
      <c r="E73" s="7" t="s">
        <v>21</v>
      </c>
      <c r="F73" s="7" t="s">
        <v>22</v>
      </c>
      <c r="G73" s="7" t="s">
        <v>23</v>
      </c>
      <c r="H73" s="7" t="s">
        <v>33</v>
      </c>
      <c r="I73" s="6" t="s">
        <v>25</v>
      </c>
      <c r="J73" s="6"/>
      <c r="K73" s="6" t="s">
        <v>60</v>
      </c>
      <c r="L73" s="6" t="s">
        <v>61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6">
        <f t="shared" si="2"/>
        <v>0</v>
      </c>
    </row>
    <row r="74" spans="1:42" x14ac:dyDescent="0.25">
      <c r="A74" s="6" t="s">
        <v>34</v>
      </c>
      <c r="B74" s="6" t="s">
        <v>18</v>
      </c>
      <c r="C74" s="6" t="s">
        <v>19</v>
      </c>
      <c r="D74" s="7" t="s">
        <v>20</v>
      </c>
      <c r="E74" s="7" t="s">
        <v>21</v>
      </c>
      <c r="F74" s="7" t="s">
        <v>22</v>
      </c>
      <c r="G74" s="7" t="s">
        <v>23</v>
      </c>
      <c r="H74" s="7" t="s">
        <v>35</v>
      </c>
      <c r="I74" s="6" t="s">
        <v>25</v>
      </c>
      <c r="J74" s="6"/>
      <c r="K74" s="6" t="s">
        <v>60</v>
      </c>
      <c r="L74" s="6" t="s">
        <v>61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6">
        <f t="shared" si="2"/>
        <v>0</v>
      </c>
    </row>
    <row r="75" spans="1:42" x14ac:dyDescent="0.25">
      <c r="A75" s="6" t="s">
        <v>36</v>
      </c>
      <c r="B75" s="6" t="s">
        <v>18</v>
      </c>
      <c r="C75" s="6" t="s">
        <v>19</v>
      </c>
      <c r="D75" s="7" t="s">
        <v>20</v>
      </c>
      <c r="E75" s="7" t="s">
        <v>21</v>
      </c>
      <c r="F75" s="7" t="s">
        <v>22</v>
      </c>
      <c r="G75" s="7" t="s">
        <v>23</v>
      </c>
      <c r="H75" s="7" t="s">
        <v>37</v>
      </c>
      <c r="I75" s="6" t="s">
        <v>25</v>
      </c>
      <c r="J75" s="6"/>
      <c r="K75" s="6" t="s">
        <v>60</v>
      </c>
      <c r="L75" s="6" t="s">
        <v>61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6">
        <f t="shared" si="2"/>
        <v>0</v>
      </c>
    </row>
    <row r="76" spans="1:42" x14ac:dyDescent="0.25">
      <c r="A76" s="6" t="s">
        <v>38</v>
      </c>
      <c r="B76" s="6" t="s">
        <v>18</v>
      </c>
      <c r="C76" s="6" t="s">
        <v>19</v>
      </c>
      <c r="D76" s="7" t="s">
        <v>20</v>
      </c>
      <c r="E76" s="7" t="s">
        <v>21</v>
      </c>
      <c r="F76" s="7" t="s">
        <v>22</v>
      </c>
      <c r="G76" s="7" t="s">
        <v>23</v>
      </c>
      <c r="H76" s="7" t="s">
        <v>39</v>
      </c>
      <c r="I76" s="6" t="s">
        <v>25</v>
      </c>
      <c r="J76" s="6"/>
      <c r="K76" s="6" t="s">
        <v>60</v>
      </c>
      <c r="L76" s="6" t="s">
        <v>61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6">
        <f t="shared" si="2"/>
        <v>0</v>
      </c>
    </row>
    <row r="77" spans="1:42" x14ac:dyDescent="0.25">
      <c r="A77" s="6" t="s">
        <v>40</v>
      </c>
      <c r="B77" s="6" t="s">
        <v>18</v>
      </c>
      <c r="C77" s="6" t="s">
        <v>19</v>
      </c>
      <c r="D77" s="7" t="s">
        <v>20</v>
      </c>
      <c r="E77" s="7" t="s">
        <v>21</v>
      </c>
      <c r="F77" s="7" t="s">
        <v>22</v>
      </c>
      <c r="G77" s="7" t="s">
        <v>23</v>
      </c>
      <c r="H77" s="7" t="s">
        <v>41</v>
      </c>
      <c r="I77" s="6" t="s">
        <v>25</v>
      </c>
      <c r="J77" s="6"/>
      <c r="K77" s="6" t="s">
        <v>60</v>
      </c>
      <c r="L77" s="6" t="s">
        <v>61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6">
        <f t="shared" si="2"/>
        <v>0</v>
      </c>
    </row>
    <row r="78" spans="1:42" x14ac:dyDescent="0.25">
      <c r="A78" s="6" t="s">
        <v>58</v>
      </c>
      <c r="B78" s="6" t="s">
        <v>18</v>
      </c>
      <c r="C78" s="6" t="s">
        <v>19</v>
      </c>
      <c r="D78" s="7" t="s">
        <v>20</v>
      </c>
      <c r="E78" s="7" t="s">
        <v>21</v>
      </c>
      <c r="F78" s="7" t="s">
        <v>22</v>
      </c>
      <c r="G78" s="7" t="s">
        <v>23</v>
      </c>
      <c r="H78" s="7" t="s">
        <v>59</v>
      </c>
      <c r="I78" s="6" t="s">
        <v>25</v>
      </c>
      <c r="J78" s="6"/>
      <c r="K78" s="6" t="s">
        <v>60</v>
      </c>
      <c r="L78" s="6" t="s">
        <v>61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6">
        <f t="shared" si="2"/>
        <v>0</v>
      </c>
    </row>
    <row r="79" spans="1:42" x14ac:dyDescent="0.25">
      <c r="A79" s="6" t="s">
        <v>42</v>
      </c>
      <c r="B79" s="6" t="s">
        <v>18</v>
      </c>
      <c r="C79" s="6" t="s">
        <v>19</v>
      </c>
      <c r="D79" s="7" t="s">
        <v>20</v>
      </c>
      <c r="E79" s="7" t="s">
        <v>21</v>
      </c>
      <c r="F79" s="7" t="s">
        <v>22</v>
      </c>
      <c r="G79" s="7" t="s">
        <v>23</v>
      </c>
      <c r="H79" s="7" t="s">
        <v>43</v>
      </c>
      <c r="I79" s="6" t="s">
        <v>25</v>
      </c>
      <c r="J79" s="6"/>
      <c r="K79" s="6" t="s">
        <v>60</v>
      </c>
      <c r="L79" s="6" t="s">
        <v>61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6">
        <f t="shared" si="2"/>
        <v>0</v>
      </c>
    </row>
    <row r="80" spans="1:42" x14ac:dyDescent="0.25">
      <c r="A80" s="6" t="s">
        <v>28</v>
      </c>
      <c r="B80" s="6" t="s">
        <v>18</v>
      </c>
      <c r="C80" s="6" t="s">
        <v>62</v>
      </c>
      <c r="D80" s="7" t="s">
        <v>63</v>
      </c>
      <c r="E80" s="7" t="s">
        <v>21</v>
      </c>
      <c r="F80" s="7" t="s">
        <v>64</v>
      </c>
      <c r="G80" s="7" t="s">
        <v>23</v>
      </c>
      <c r="H80" s="7" t="s">
        <v>65</v>
      </c>
      <c r="I80" s="6" t="s">
        <v>66</v>
      </c>
      <c r="J80" s="6"/>
      <c r="K80" s="6" t="s">
        <v>67</v>
      </c>
      <c r="L80" s="6" t="s">
        <v>68</v>
      </c>
      <c r="M80" s="10">
        <v>192234.56266665569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192234.56266665569</v>
      </c>
      <c r="AL80" s="10">
        <v>0</v>
      </c>
      <c r="AM80" s="10">
        <v>0</v>
      </c>
      <c r="AN80" s="10">
        <v>0</v>
      </c>
      <c r="AO80" s="10">
        <v>0</v>
      </c>
      <c r="AP80" s="16">
        <f t="shared" si="2"/>
        <v>192234.56266665569</v>
      </c>
    </row>
    <row r="81" spans="1:42" x14ac:dyDescent="0.25">
      <c r="A81" s="6" t="s">
        <v>30</v>
      </c>
      <c r="B81" s="6" t="s">
        <v>18</v>
      </c>
      <c r="C81" s="6" t="s">
        <v>62</v>
      </c>
      <c r="D81" s="7" t="s">
        <v>63</v>
      </c>
      <c r="E81" s="7" t="s">
        <v>21</v>
      </c>
      <c r="F81" s="7" t="s">
        <v>64</v>
      </c>
      <c r="G81" s="7" t="s">
        <v>23</v>
      </c>
      <c r="H81" s="7" t="s">
        <v>69</v>
      </c>
      <c r="I81" s="6" t="s">
        <v>66</v>
      </c>
      <c r="J81" s="6"/>
      <c r="K81" s="6" t="s">
        <v>67</v>
      </c>
      <c r="L81" s="6" t="s">
        <v>68</v>
      </c>
      <c r="M81" s="10">
        <v>75266.657988129547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75266.657988129547</v>
      </c>
      <c r="AL81" s="10">
        <v>0</v>
      </c>
      <c r="AM81" s="10">
        <v>0</v>
      </c>
      <c r="AN81" s="10">
        <v>0</v>
      </c>
      <c r="AO81" s="10">
        <v>0</v>
      </c>
      <c r="AP81" s="16">
        <f t="shared" si="2"/>
        <v>75266.657988129547</v>
      </c>
    </row>
    <row r="82" spans="1:42" x14ac:dyDescent="0.25">
      <c r="A82" s="6" t="s">
        <v>32</v>
      </c>
      <c r="B82" s="6" t="s">
        <v>18</v>
      </c>
      <c r="C82" s="6" t="s">
        <v>62</v>
      </c>
      <c r="D82" s="7" t="s">
        <v>63</v>
      </c>
      <c r="E82" s="7" t="s">
        <v>21</v>
      </c>
      <c r="F82" s="7" t="s">
        <v>64</v>
      </c>
      <c r="G82" s="7" t="s">
        <v>23</v>
      </c>
      <c r="H82" s="7" t="s">
        <v>70</v>
      </c>
      <c r="I82" s="6" t="s">
        <v>66</v>
      </c>
      <c r="J82" s="6"/>
      <c r="K82" s="6" t="s">
        <v>67</v>
      </c>
      <c r="L82" s="6" t="s">
        <v>68</v>
      </c>
      <c r="M82" s="10">
        <v>19624.115349542772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19624.115349542772</v>
      </c>
      <c r="AL82" s="10">
        <v>0</v>
      </c>
      <c r="AM82" s="10">
        <v>0</v>
      </c>
      <c r="AN82" s="10">
        <v>0</v>
      </c>
      <c r="AO82" s="10">
        <v>0</v>
      </c>
      <c r="AP82" s="16">
        <f t="shared" si="2"/>
        <v>19624.115349542772</v>
      </c>
    </row>
    <row r="83" spans="1:42" x14ac:dyDescent="0.25">
      <c r="A83" s="6" t="s">
        <v>34</v>
      </c>
      <c r="B83" s="6" t="s">
        <v>18</v>
      </c>
      <c r="C83" s="6" t="s">
        <v>62</v>
      </c>
      <c r="D83" s="7" t="s">
        <v>63</v>
      </c>
      <c r="E83" s="7" t="s">
        <v>21</v>
      </c>
      <c r="F83" s="7" t="s">
        <v>64</v>
      </c>
      <c r="G83" s="7" t="s">
        <v>23</v>
      </c>
      <c r="H83" s="7" t="s">
        <v>71</v>
      </c>
      <c r="I83" s="6" t="s">
        <v>66</v>
      </c>
      <c r="J83" s="6"/>
      <c r="K83" s="6" t="s">
        <v>67</v>
      </c>
      <c r="L83" s="6" t="s">
        <v>68</v>
      </c>
      <c r="M83" s="10">
        <v>121710.39694977269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121710.39694977269</v>
      </c>
      <c r="AL83" s="10">
        <v>0</v>
      </c>
      <c r="AM83" s="10">
        <v>0</v>
      </c>
      <c r="AN83" s="10">
        <v>0</v>
      </c>
      <c r="AO83" s="10">
        <v>0</v>
      </c>
      <c r="AP83" s="16">
        <f t="shared" si="2"/>
        <v>121710.39694977269</v>
      </c>
    </row>
    <row r="84" spans="1:42" x14ac:dyDescent="0.25">
      <c r="A84" s="6" t="s">
        <v>28</v>
      </c>
      <c r="B84" s="6" t="s">
        <v>18</v>
      </c>
      <c r="C84" s="6" t="s">
        <v>19</v>
      </c>
      <c r="D84" s="7" t="s">
        <v>20</v>
      </c>
      <c r="E84" s="7" t="s">
        <v>21</v>
      </c>
      <c r="F84" s="7" t="s">
        <v>22</v>
      </c>
      <c r="G84" s="7" t="s">
        <v>23</v>
      </c>
      <c r="H84" s="7" t="s">
        <v>29</v>
      </c>
      <c r="I84" s="6" t="s">
        <v>25</v>
      </c>
      <c r="J84" s="6"/>
      <c r="K84" s="6" t="s">
        <v>72</v>
      </c>
      <c r="L84" s="6" t="s">
        <v>73</v>
      </c>
      <c r="M84" s="10">
        <v>19035.385176736843</v>
      </c>
      <c r="N84" s="10">
        <v>19035.385176736843</v>
      </c>
      <c r="O84" s="10">
        <v>19035.385176736843</v>
      </c>
      <c r="P84" s="10">
        <v>19035.385176736843</v>
      </c>
      <c r="Q84" s="10">
        <v>19035.385176736843</v>
      </c>
      <c r="R84" s="10">
        <v>19035.385176736843</v>
      </c>
      <c r="S84" s="10">
        <v>19035.385176736843</v>
      </c>
      <c r="T84" s="10">
        <v>19035.385176736843</v>
      </c>
      <c r="U84" s="10">
        <v>19035.385176736843</v>
      </c>
      <c r="V84" s="10">
        <v>19035.385176736843</v>
      </c>
      <c r="W84" s="10">
        <v>19035.385176736843</v>
      </c>
      <c r="X84" s="10">
        <v>19035.385176736843</v>
      </c>
      <c r="Y84" s="10">
        <v>19035.385176736843</v>
      </c>
      <c r="Z84" s="10">
        <v>19035.385176736843</v>
      </c>
      <c r="AA84" s="10">
        <v>19035.385176736843</v>
      </c>
      <c r="AB84" s="10">
        <v>19035.385176736843</v>
      </c>
      <c r="AC84" s="10">
        <v>19035.385176736843</v>
      </c>
      <c r="AD84" s="10">
        <v>19035.385176736843</v>
      </c>
      <c r="AE84" s="10">
        <v>19035.385176736843</v>
      </c>
      <c r="AF84" s="10">
        <v>19035.385176736843</v>
      </c>
      <c r="AG84" s="10">
        <v>19035.385176736843</v>
      </c>
      <c r="AH84" s="10">
        <v>19035.385176736843</v>
      </c>
      <c r="AI84" s="10">
        <v>19035.385176736843</v>
      </c>
      <c r="AJ84" s="10">
        <v>19035.385176736843</v>
      </c>
      <c r="AK84" s="10">
        <v>228424.62212084219</v>
      </c>
      <c r="AL84" s="10">
        <v>228424.62212084219</v>
      </c>
      <c r="AM84" s="10">
        <v>0</v>
      </c>
      <c r="AN84" s="10">
        <v>0</v>
      </c>
      <c r="AO84" s="10">
        <v>0</v>
      </c>
      <c r="AP84" s="16">
        <f t="shared" si="2"/>
        <v>456849.24424168438</v>
      </c>
    </row>
    <row r="85" spans="1:42" x14ac:dyDescent="0.25">
      <c r="A85" s="6" t="s">
        <v>28</v>
      </c>
      <c r="B85" s="6" t="s">
        <v>18</v>
      </c>
      <c r="C85" s="6" t="s">
        <v>19</v>
      </c>
      <c r="D85" s="7" t="s">
        <v>20</v>
      </c>
      <c r="E85" s="7" t="s">
        <v>21</v>
      </c>
      <c r="F85" s="7" t="s">
        <v>22</v>
      </c>
      <c r="G85" s="7" t="s">
        <v>23</v>
      </c>
      <c r="H85" s="7" t="s">
        <v>29</v>
      </c>
      <c r="I85" s="6" t="s">
        <v>25</v>
      </c>
      <c r="J85" s="6"/>
      <c r="K85" s="6" t="s">
        <v>72</v>
      </c>
      <c r="L85" s="6" t="s">
        <v>73</v>
      </c>
      <c r="M85" s="10">
        <v>0</v>
      </c>
      <c r="N85" s="10">
        <v>102100.19322478362</v>
      </c>
      <c r="O85" s="10">
        <v>102100.19322478362</v>
      </c>
      <c r="P85" s="10">
        <v>102100.19322478362</v>
      </c>
      <c r="Q85" s="10">
        <v>0</v>
      </c>
      <c r="R85" s="10">
        <v>51050.096612391812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357350.67628674267</v>
      </c>
      <c r="AL85" s="10">
        <v>0</v>
      </c>
      <c r="AM85" s="10">
        <v>0</v>
      </c>
      <c r="AN85" s="10">
        <v>0</v>
      </c>
      <c r="AO85" s="10">
        <v>0</v>
      </c>
      <c r="AP85" s="16">
        <f t="shared" si="2"/>
        <v>357350.67628674267</v>
      </c>
    </row>
    <row r="86" spans="1:42" x14ac:dyDescent="0.25">
      <c r="A86" s="6" t="s">
        <v>28</v>
      </c>
      <c r="B86" s="6" t="s">
        <v>18</v>
      </c>
      <c r="C86" s="6" t="s">
        <v>19</v>
      </c>
      <c r="D86" s="7" t="s">
        <v>20</v>
      </c>
      <c r="E86" s="7" t="s">
        <v>21</v>
      </c>
      <c r="F86" s="7" t="s">
        <v>22</v>
      </c>
      <c r="G86" s="7" t="s">
        <v>23</v>
      </c>
      <c r="H86" s="7" t="s">
        <v>29</v>
      </c>
      <c r="I86" s="6" t="s">
        <v>25</v>
      </c>
      <c r="J86" s="6"/>
      <c r="K86" s="6" t="s">
        <v>72</v>
      </c>
      <c r="L86" s="6" t="s">
        <v>73</v>
      </c>
      <c r="M86" s="10">
        <v>0</v>
      </c>
      <c r="N86" s="10">
        <v>0</v>
      </c>
      <c r="O86" s="10">
        <v>26836.824050464667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26836.824050464667</v>
      </c>
      <c r="AL86" s="10">
        <v>0</v>
      </c>
      <c r="AM86" s="10">
        <v>0</v>
      </c>
      <c r="AN86" s="10">
        <v>0</v>
      </c>
      <c r="AO86" s="10">
        <v>0</v>
      </c>
      <c r="AP86" s="16">
        <f t="shared" si="2"/>
        <v>26836.824050464667</v>
      </c>
    </row>
    <row r="87" spans="1:42" x14ac:dyDescent="0.25">
      <c r="A87" s="6" t="s">
        <v>28</v>
      </c>
      <c r="B87" s="6" t="s">
        <v>18</v>
      </c>
      <c r="C87" s="6" t="s">
        <v>19</v>
      </c>
      <c r="D87" s="7" t="s">
        <v>20</v>
      </c>
      <c r="E87" s="7" t="s">
        <v>21</v>
      </c>
      <c r="F87" s="7" t="s">
        <v>22</v>
      </c>
      <c r="G87" s="7" t="s">
        <v>23</v>
      </c>
      <c r="H87" s="7" t="s">
        <v>29</v>
      </c>
      <c r="I87" s="6" t="s">
        <v>25</v>
      </c>
      <c r="J87" s="6"/>
      <c r="K87" s="6" t="s">
        <v>72</v>
      </c>
      <c r="L87" s="6" t="s">
        <v>73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70104.547276073965</v>
      </c>
      <c r="V87" s="10">
        <v>67825.47306767627</v>
      </c>
      <c r="W87" s="10">
        <v>51525.489404063774</v>
      </c>
      <c r="X87" s="10">
        <v>85078.409328101159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274533.91907591518</v>
      </c>
      <c r="AL87" s="10">
        <v>0</v>
      </c>
      <c r="AM87" s="10">
        <v>0</v>
      </c>
      <c r="AN87" s="10">
        <v>0</v>
      </c>
      <c r="AO87" s="10">
        <v>0</v>
      </c>
      <c r="AP87" s="16">
        <f t="shared" si="2"/>
        <v>274533.91907591518</v>
      </c>
    </row>
    <row r="88" spans="1:42" x14ac:dyDescent="0.25">
      <c r="A88" s="6" t="s">
        <v>28</v>
      </c>
      <c r="B88" s="6" t="s">
        <v>18</v>
      </c>
      <c r="C88" s="6" t="s">
        <v>19</v>
      </c>
      <c r="D88" s="7" t="s">
        <v>20</v>
      </c>
      <c r="E88" s="7" t="s">
        <v>21</v>
      </c>
      <c r="F88" s="7" t="s">
        <v>22</v>
      </c>
      <c r="G88" s="7" t="s">
        <v>23</v>
      </c>
      <c r="H88" s="7" t="s">
        <v>29</v>
      </c>
      <c r="I88" s="6" t="s">
        <v>25</v>
      </c>
      <c r="J88" s="6"/>
      <c r="K88" s="6" t="s">
        <v>72</v>
      </c>
      <c r="L88" s="6" t="s">
        <v>73</v>
      </c>
      <c r="M88" s="10">
        <v>0</v>
      </c>
      <c r="N88" s="10">
        <v>0</v>
      </c>
      <c r="O88" s="10">
        <v>0</v>
      </c>
      <c r="P88" s="10">
        <v>0</v>
      </c>
      <c r="Q88" s="10">
        <v>128729.71798397087</v>
      </c>
      <c r="R88" s="10">
        <v>0</v>
      </c>
      <c r="S88" s="10">
        <v>128729.71798397087</v>
      </c>
      <c r="T88" s="10">
        <v>128729.71798397087</v>
      </c>
      <c r="U88" s="10">
        <v>0</v>
      </c>
      <c r="V88" s="10">
        <v>64364.854809010365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450554.008760923</v>
      </c>
      <c r="AL88" s="10">
        <v>0</v>
      </c>
      <c r="AM88" s="10">
        <v>0</v>
      </c>
      <c r="AN88" s="10">
        <v>0</v>
      </c>
      <c r="AO88" s="10">
        <v>0</v>
      </c>
      <c r="AP88" s="16">
        <f t="shared" si="2"/>
        <v>450554.008760923</v>
      </c>
    </row>
    <row r="89" spans="1:42" x14ac:dyDescent="0.25">
      <c r="A89" s="6" t="s">
        <v>30</v>
      </c>
      <c r="B89" s="6" t="s">
        <v>18</v>
      </c>
      <c r="C89" s="6" t="s">
        <v>19</v>
      </c>
      <c r="D89" s="7" t="s">
        <v>20</v>
      </c>
      <c r="E89" s="7" t="s">
        <v>21</v>
      </c>
      <c r="F89" s="7" t="s">
        <v>22</v>
      </c>
      <c r="G89" s="7" t="s">
        <v>23</v>
      </c>
      <c r="H89" s="7" t="s">
        <v>31</v>
      </c>
      <c r="I89" s="6" t="s">
        <v>25</v>
      </c>
      <c r="J89" s="6"/>
      <c r="K89" s="6" t="s">
        <v>72</v>
      </c>
      <c r="L89" s="6" t="s">
        <v>73</v>
      </c>
      <c r="M89" s="10">
        <v>0</v>
      </c>
      <c r="N89" s="10">
        <v>39809.498339780846</v>
      </c>
      <c r="O89" s="10">
        <v>39809.498339780846</v>
      </c>
      <c r="P89" s="10">
        <v>39809.498339780846</v>
      </c>
      <c r="Q89" s="10">
        <v>0</v>
      </c>
      <c r="R89" s="10">
        <v>19904.749169890423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139333.24418923297</v>
      </c>
      <c r="AL89" s="10">
        <v>0</v>
      </c>
      <c r="AM89" s="10">
        <v>0</v>
      </c>
      <c r="AN89" s="10">
        <v>0</v>
      </c>
      <c r="AO89" s="10">
        <v>0</v>
      </c>
      <c r="AP89" s="16">
        <f t="shared" si="2"/>
        <v>139333.24418923297</v>
      </c>
    </row>
    <row r="90" spans="1:42" x14ac:dyDescent="0.25">
      <c r="A90" s="6" t="s">
        <v>30</v>
      </c>
      <c r="B90" s="6" t="s">
        <v>18</v>
      </c>
      <c r="C90" s="6" t="s">
        <v>19</v>
      </c>
      <c r="D90" s="7" t="s">
        <v>20</v>
      </c>
      <c r="E90" s="7" t="s">
        <v>21</v>
      </c>
      <c r="F90" s="7" t="s">
        <v>22</v>
      </c>
      <c r="G90" s="7" t="s">
        <v>23</v>
      </c>
      <c r="H90" s="7" t="s">
        <v>31</v>
      </c>
      <c r="I90" s="6" t="s">
        <v>25</v>
      </c>
      <c r="J90" s="6"/>
      <c r="K90" s="6" t="s">
        <v>72</v>
      </c>
      <c r="L90" s="6" t="s">
        <v>73</v>
      </c>
      <c r="M90" s="10">
        <v>0</v>
      </c>
      <c r="N90" s="10">
        <v>0</v>
      </c>
      <c r="O90" s="10">
        <v>10463.846856133052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10463.846856133052</v>
      </c>
      <c r="AL90" s="10">
        <v>0</v>
      </c>
      <c r="AM90" s="10">
        <v>0</v>
      </c>
      <c r="AN90" s="10">
        <v>0</v>
      </c>
      <c r="AO90" s="10">
        <v>0</v>
      </c>
      <c r="AP90" s="16">
        <f t="shared" si="2"/>
        <v>10463.846856133052</v>
      </c>
    </row>
    <row r="91" spans="1:42" x14ac:dyDescent="0.25">
      <c r="A91" s="6" t="s">
        <v>30</v>
      </c>
      <c r="B91" s="6" t="s">
        <v>18</v>
      </c>
      <c r="C91" s="6" t="s">
        <v>19</v>
      </c>
      <c r="D91" s="7" t="s">
        <v>20</v>
      </c>
      <c r="E91" s="7" t="s">
        <v>21</v>
      </c>
      <c r="F91" s="7" t="s">
        <v>22</v>
      </c>
      <c r="G91" s="7" t="s">
        <v>23</v>
      </c>
      <c r="H91" s="7" t="s">
        <v>31</v>
      </c>
      <c r="I91" s="6" t="s">
        <v>25</v>
      </c>
      <c r="J91" s="6"/>
      <c r="K91" s="6" t="s">
        <v>72</v>
      </c>
      <c r="L91" s="6" t="s">
        <v>73</v>
      </c>
      <c r="M91" s="10">
        <v>7422.0166649499924</v>
      </c>
      <c r="N91" s="10">
        <v>7422.0166649499924</v>
      </c>
      <c r="O91" s="10">
        <v>7422.0166649499924</v>
      </c>
      <c r="P91" s="10">
        <v>7422.0166649499924</v>
      </c>
      <c r="Q91" s="10">
        <v>7422.0166649499924</v>
      </c>
      <c r="R91" s="10">
        <v>7422.0166649499924</v>
      </c>
      <c r="S91" s="10">
        <v>7422.0166649499924</v>
      </c>
      <c r="T91" s="10">
        <v>7422.0166649499924</v>
      </c>
      <c r="U91" s="10">
        <v>7422.0166649499924</v>
      </c>
      <c r="V91" s="10">
        <v>7422.0166649499924</v>
      </c>
      <c r="W91" s="10">
        <v>7422.0166649499924</v>
      </c>
      <c r="X91" s="10">
        <v>7422.0166649499924</v>
      </c>
      <c r="Y91" s="10">
        <v>7422.0166649499924</v>
      </c>
      <c r="Z91" s="10">
        <v>7422.0166649499924</v>
      </c>
      <c r="AA91" s="10">
        <v>7422.0166649499924</v>
      </c>
      <c r="AB91" s="10">
        <v>7422.0166649499924</v>
      </c>
      <c r="AC91" s="10">
        <v>7422.0166649499924</v>
      </c>
      <c r="AD91" s="10">
        <v>7422.0166649499924</v>
      </c>
      <c r="AE91" s="10">
        <v>7422.0166649499924</v>
      </c>
      <c r="AF91" s="10">
        <v>7422.0166649499924</v>
      </c>
      <c r="AG91" s="10">
        <v>7422.0166649499924</v>
      </c>
      <c r="AH91" s="10">
        <v>7422.0166649499924</v>
      </c>
      <c r="AI91" s="10">
        <v>7422.0166649499924</v>
      </c>
      <c r="AJ91" s="10">
        <v>7422.0166649499924</v>
      </c>
      <c r="AK91" s="10">
        <v>89064.199979399884</v>
      </c>
      <c r="AL91" s="10">
        <v>89064.199979399884</v>
      </c>
      <c r="AM91" s="10">
        <v>0</v>
      </c>
      <c r="AN91" s="10">
        <v>0</v>
      </c>
      <c r="AO91" s="10">
        <v>0</v>
      </c>
      <c r="AP91" s="16">
        <f t="shared" si="2"/>
        <v>178128.39995879977</v>
      </c>
    </row>
    <row r="92" spans="1:42" x14ac:dyDescent="0.25">
      <c r="A92" s="6" t="s">
        <v>30</v>
      </c>
      <c r="B92" s="6" t="s">
        <v>18</v>
      </c>
      <c r="C92" s="6" t="s">
        <v>19</v>
      </c>
      <c r="D92" s="7" t="s">
        <v>20</v>
      </c>
      <c r="E92" s="7" t="s">
        <v>21</v>
      </c>
      <c r="F92" s="7" t="s">
        <v>22</v>
      </c>
      <c r="G92" s="7" t="s">
        <v>23</v>
      </c>
      <c r="H92" s="7" t="s">
        <v>31</v>
      </c>
      <c r="I92" s="6" t="s">
        <v>25</v>
      </c>
      <c r="J92" s="6"/>
      <c r="K92" s="6" t="s">
        <v>72</v>
      </c>
      <c r="L92" s="6" t="s">
        <v>73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27334.197617566449</v>
      </c>
      <c r="V92" s="10">
        <v>26445.572453893179</v>
      </c>
      <c r="W92" s="10">
        <v>20090.10776670662</v>
      </c>
      <c r="X92" s="10">
        <v>33172.599266698555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107042.47710486481</v>
      </c>
      <c r="AL92" s="10">
        <v>0</v>
      </c>
      <c r="AM92" s="10">
        <v>0</v>
      </c>
      <c r="AN92" s="10">
        <v>0</v>
      </c>
      <c r="AO92" s="10">
        <v>0</v>
      </c>
      <c r="AP92" s="16">
        <f t="shared" si="2"/>
        <v>107042.47710486481</v>
      </c>
    </row>
    <row r="93" spans="1:42" x14ac:dyDescent="0.25">
      <c r="A93" s="6" t="s">
        <v>30</v>
      </c>
      <c r="B93" s="6" t="s">
        <v>18</v>
      </c>
      <c r="C93" s="6" t="s">
        <v>19</v>
      </c>
      <c r="D93" s="7" t="s">
        <v>20</v>
      </c>
      <c r="E93" s="7" t="s">
        <v>21</v>
      </c>
      <c r="F93" s="7" t="s">
        <v>22</v>
      </c>
      <c r="G93" s="7" t="s">
        <v>23</v>
      </c>
      <c r="H93" s="7" t="s">
        <v>31</v>
      </c>
      <c r="I93" s="6" t="s">
        <v>25</v>
      </c>
      <c r="J93" s="6"/>
      <c r="K93" s="6" t="s">
        <v>72</v>
      </c>
      <c r="L93" s="6" t="s">
        <v>73</v>
      </c>
      <c r="M93" s="10">
        <v>0</v>
      </c>
      <c r="N93" s="10">
        <v>0</v>
      </c>
      <c r="O93" s="10">
        <v>0</v>
      </c>
      <c r="P93" s="10">
        <v>0</v>
      </c>
      <c r="Q93" s="10">
        <v>50192.515141287615</v>
      </c>
      <c r="R93" s="10">
        <v>0</v>
      </c>
      <c r="S93" s="10">
        <v>50192.515141287615</v>
      </c>
      <c r="T93" s="10">
        <v>50192.515141287615</v>
      </c>
      <c r="U93" s="10">
        <v>0</v>
      </c>
      <c r="V93" s="10">
        <v>25096.255939675902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175673.80136353875</v>
      </c>
      <c r="AL93" s="10">
        <v>0</v>
      </c>
      <c r="AM93" s="10">
        <v>0</v>
      </c>
      <c r="AN93" s="10">
        <v>0</v>
      </c>
      <c r="AO93" s="10">
        <v>0</v>
      </c>
      <c r="AP93" s="16">
        <f t="shared" si="2"/>
        <v>175673.80136353875</v>
      </c>
    </row>
    <row r="94" spans="1:42" x14ac:dyDescent="0.25">
      <c r="A94" s="6" t="s">
        <v>32</v>
      </c>
      <c r="B94" s="6" t="s">
        <v>18</v>
      </c>
      <c r="C94" s="6" t="s">
        <v>19</v>
      </c>
      <c r="D94" s="7" t="s">
        <v>20</v>
      </c>
      <c r="E94" s="7" t="s">
        <v>21</v>
      </c>
      <c r="F94" s="7" t="s">
        <v>22</v>
      </c>
      <c r="G94" s="7" t="s">
        <v>23</v>
      </c>
      <c r="H94" s="7" t="s">
        <v>33</v>
      </c>
      <c r="I94" s="6" t="s">
        <v>25</v>
      </c>
      <c r="J94" s="6"/>
      <c r="K94" s="6" t="s">
        <v>72</v>
      </c>
      <c r="L94" s="6" t="s">
        <v>73</v>
      </c>
      <c r="M94" s="10">
        <v>0</v>
      </c>
      <c r="N94" s="10">
        <v>10479.674967092538</v>
      </c>
      <c r="O94" s="10">
        <v>10479.674967092538</v>
      </c>
      <c r="P94" s="10">
        <v>10479.674967092538</v>
      </c>
      <c r="Q94" s="10">
        <v>0</v>
      </c>
      <c r="R94" s="10">
        <v>5239.8374835462691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36678.862384823886</v>
      </c>
      <c r="AL94" s="10">
        <v>0</v>
      </c>
      <c r="AM94" s="10">
        <v>0</v>
      </c>
      <c r="AN94" s="10">
        <v>0</v>
      </c>
      <c r="AO94" s="10">
        <v>0</v>
      </c>
      <c r="AP94" s="16">
        <f t="shared" si="2"/>
        <v>36678.862384823886</v>
      </c>
    </row>
    <row r="95" spans="1:42" x14ac:dyDescent="0.25">
      <c r="A95" s="6" t="s">
        <v>32</v>
      </c>
      <c r="B95" s="6" t="s">
        <v>18</v>
      </c>
      <c r="C95" s="6" t="s">
        <v>19</v>
      </c>
      <c r="D95" s="7" t="s">
        <v>20</v>
      </c>
      <c r="E95" s="7" t="s">
        <v>21</v>
      </c>
      <c r="F95" s="7" t="s">
        <v>22</v>
      </c>
      <c r="G95" s="7" t="s">
        <v>23</v>
      </c>
      <c r="H95" s="7" t="s">
        <v>33</v>
      </c>
      <c r="I95" s="6" t="s">
        <v>25</v>
      </c>
      <c r="J95" s="6"/>
      <c r="K95" s="6" t="s">
        <v>72</v>
      </c>
      <c r="L95" s="6" t="s">
        <v>73</v>
      </c>
      <c r="M95" s="10">
        <v>0</v>
      </c>
      <c r="N95" s="10">
        <v>0</v>
      </c>
      <c r="O95" s="10">
        <v>2754.5462504948832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2754.5462504948832</v>
      </c>
      <c r="AL95" s="10">
        <v>0</v>
      </c>
      <c r="AM95" s="10">
        <v>0</v>
      </c>
      <c r="AN95" s="10">
        <v>0</v>
      </c>
      <c r="AO95" s="10">
        <v>0</v>
      </c>
      <c r="AP95" s="16">
        <f t="shared" si="2"/>
        <v>2754.5462504948832</v>
      </c>
    </row>
    <row r="96" spans="1:42" x14ac:dyDescent="0.25">
      <c r="A96" s="6" t="s">
        <v>32</v>
      </c>
      <c r="B96" s="6" t="s">
        <v>18</v>
      </c>
      <c r="C96" s="6" t="s">
        <v>19</v>
      </c>
      <c r="D96" s="7" t="s">
        <v>20</v>
      </c>
      <c r="E96" s="7" t="s">
        <v>21</v>
      </c>
      <c r="F96" s="7" t="s">
        <v>22</v>
      </c>
      <c r="G96" s="7" t="s">
        <v>23</v>
      </c>
      <c r="H96" s="7" t="s">
        <v>33</v>
      </c>
      <c r="I96" s="6" t="s">
        <v>25</v>
      </c>
      <c r="J96" s="6"/>
      <c r="K96" s="6" t="s">
        <v>72</v>
      </c>
      <c r="L96" s="6" t="s">
        <v>73</v>
      </c>
      <c r="M96" s="10">
        <v>1953.8023115815922</v>
      </c>
      <c r="N96" s="10">
        <v>1953.8023115815922</v>
      </c>
      <c r="O96" s="10">
        <v>1953.8023115815922</v>
      </c>
      <c r="P96" s="10">
        <v>1953.8023115815922</v>
      </c>
      <c r="Q96" s="10">
        <v>1953.8023115815922</v>
      </c>
      <c r="R96" s="10">
        <v>1953.8023115815922</v>
      </c>
      <c r="S96" s="10">
        <v>1953.8023115815922</v>
      </c>
      <c r="T96" s="10">
        <v>1953.8023115815922</v>
      </c>
      <c r="U96" s="10">
        <v>1953.8023115815922</v>
      </c>
      <c r="V96" s="10">
        <v>1953.8023115815922</v>
      </c>
      <c r="W96" s="10">
        <v>1953.8023115815922</v>
      </c>
      <c r="X96" s="10">
        <v>1953.8023115815922</v>
      </c>
      <c r="Y96" s="10">
        <v>1953.8023115815922</v>
      </c>
      <c r="Z96" s="10">
        <v>1953.8023115815922</v>
      </c>
      <c r="AA96" s="10">
        <v>1953.8023115815922</v>
      </c>
      <c r="AB96" s="10">
        <v>1953.8023115815922</v>
      </c>
      <c r="AC96" s="10">
        <v>1953.8023115815922</v>
      </c>
      <c r="AD96" s="10">
        <v>1953.8023115815922</v>
      </c>
      <c r="AE96" s="10">
        <v>1953.8023115815922</v>
      </c>
      <c r="AF96" s="10">
        <v>1953.8023115815922</v>
      </c>
      <c r="AG96" s="10">
        <v>1953.8023115815922</v>
      </c>
      <c r="AH96" s="10">
        <v>1953.8023115815922</v>
      </c>
      <c r="AI96" s="10">
        <v>1953.8023115815922</v>
      </c>
      <c r="AJ96" s="10">
        <v>1953.8023115815922</v>
      </c>
      <c r="AK96" s="10">
        <v>23445.627738979114</v>
      </c>
      <c r="AL96" s="10">
        <v>23445.627738979114</v>
      </c>
      <c r="AM96" s="10">
        <v>0</v>
      </c>
      <c r="AN96" s="10">
        <v>0</v>
      </c>
      <c r="AO96" s="10">
        <v>0</v>
      </c>
      <c r="AP96" s="16">
        <f t="shared" si="2"/>
        <v>46891.255477958228</v>
      </c>
    </row>
    <row r="97" spans="1:42" x14ac:dyDescent="0.25">
      <c r="A97" s="6" t="s">
        <v>32</v>
      </c>
      <c r="B97" s="6" t="s">
        <v>18</v>
      </c>
      <c r="C97" s="6" t="s">
        <v>19</v>
      </c>
      <c r="D97" s="7" t="s">
        <v>20</v>
      </c>
      <c r="E97" s="7" t="s">
        <v>21</v>
      </c>
      <c r="F97" s="7" t="s">
        <v>22</v>
      </c>
      <c r="G97" s="7" t="s">
        <v>23</v>
      </c>
      <c r="H97" s="7" t="s">
        <v>33</v>
      </c>
      <c r="I97" s="6" t="s">
        <v>25</v>
      </c>
      <c r="J97" s="6"/>
      <c r="K97" s="6" t="s">
        <v>72</v>
      </c>
      <c r="L97" s="6" t="s">
        <v>73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7195.607040145097</v>
      </c>
      <c r="V97" s="10">
        <v>6961.6803826576934</v>
      </c>
      <c r="W97" s="10">
        <v>5288.6323171412705</v>
      </c>
      <c r="X97" s="10">
        <v>8732.5405399852843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28178.460279929343</v>
      </c>
      <c r="AL97" s="10">
        <v>0</v>
      </c>
      <c r="AM97" s="10">
        <v>0</v>
      </c>
      <c r="AN97" s="10">
        <v>0</v>
      </c>
      <c r="AO97" s="10">
        <v>0</v>
      </c>
      <c r="AP97" s="16">
        <f t="shared" si="2"/>
        <v>28178.460279929343</v>
      </c>
    </row>
    <row r="98" spans="1:42" x14ac:dyDescent="0.25">
      <c r="A98" s="6" t="s">
        <v>32</v>
      </c>
      <c r="B98" s="6" t="s">
        <v>18</v>
      </c>
      <c r="C98" s="6" t="s">
        <v>19</v>
      </c>
      <c r="D98" s="7" t="s">
        <v>20</v>
      </c>
      <c r="E98" s="7" t="s">
        <v>21</v>
      </c>
      <c r="F98" s="7" t="s">
        <v>22</v>
      </c>
      <c r="G98" s="7" t="s">
        <v>23</v>
      </c>
      <c r="H98" s="7" t="s">
        <v>33</v>
      </c>
      <c r="I98" s="6" t="s">
        <v>25</v>
      </c>
      <c r="J98" s="6"/>
      <c r="K98" s="6" t="s">
        <v>72</v>
      </c>
      <c r="L98" s="6" t="s">
        <v>73</v>
      </c>
      <c r="M98" s="10">
        <v>0</v>
      </c>
      <c r="N98" s="10">
        <v>0</v>
      </c>
      <c r="O98" s="10">
        <v>0</v>
      </c>
      <c r="P98" s="10">
        <v>0</v>
      </c>
      <c r="Q98" s="10">
        <v>13212.958374206451</v>
      </c>
      <c r="R98" s="10">
        <v>0</v>
      </c>
      <c r="S98" s="10">
        <v>13212.958374206451</v>
      </c>
      <c r="T98" s="10">
        <v>13212.958374206451</v>
      </c>
      <c r="U98" s="10">
        <v>0</v>
      </c>
      <c r="V98" s="10">
        <v>6606.4787577581101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46245.353880377472</v>
      </c>
      <c r="AL98" s="10">
        <v>0</v>
      </c>
      <c r="AM98" s="10">
        <v>0</v>
      </c>
      <c r="AN98" s="10">
        <v>0</v>
      </c>
      <c r="AO98" s="10">
        <v>0</v>
      </c>
      <c r="AP98" s="16">
        <f t="shared" si="2"/>
        <v>46245.353880377472</v>
      </c>
    </row>
    <row r="99" spans="1:42" x14ac:dyDescent="0.25">
      <c r="A99" s="6" t="s">
        <v>34</v>
      </c>
      <c r="B99" s="6" t="s">
        <v>18</v>
      </c>
      <c r="C99" s="6" t="s">
        <v>19</v>
      </c>
      <c r="D99" s="7" t="s">
        <v>20</v>
      </c>
      <c r="E99" s="7" t="s">
        <v>21</v>
      </c>
      <c r="F99" s="7" t="s">
        <v>22</v>
      </c>
      <c r="G99" s="7" t="s">
        <v>23</v>
      </c>
      <c r="H99" s="7" t="s">
        <v>35</v>
      </c>
      <c r="I99" s="6" t="s">
        <v>25</v>
      </c>
      <c r="J99" s="6"/>
      <c r="K99" s="6" t="s">
        <v>72</v>
      </c>
      <c r="L99" s="6" t="s">
        <v>73</v>
      </c>
      <c r="M99" s="10">
        <v>0</v>
      </c>
      <c r="N99" s="10">
        <v>65030.120249765299</v>
      </c>
      <c r="O99" s="10">
        <v>65030.120249765299</v>
      </c>
      <c r="P99" s="10">
        <v>65030.120249765299</v>
      </c>
      <c r="Q99" s="10">
        <v>0</v>
      </c>
      <c r="R99" s="10">
        <v>32515.06012488265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227605.42087417858</v>
      </c>
      <c r="AL99" s="10">
        <v>0</v>
      </c>
      <c r="AM99" s="10">
        <v>0</v>
      </c>
      <c r="AN99" s="10">
        <v>0</v>
      </c>
      <c r="AO99" s="10">
        <v>0</v>
      </c>
      <c r="AP99" s="16">
        <f t="shared" si="2"/>
        <v>227605.42087417858</v>
      </c>
    </row>
    <row r="100" spans="1:42" x14ac:dyDescent="0.25">
      <c r="A100" s="6" t="s">
        <v>34</v>
      </c>
      <c r="B100" s="6" t="s">
        <v>18</v>
      </c>
      <c r="C100" s="6" t="s">
        <v>19</v>
      </c>
      <c r="D100" s="7" t="s">
        <v>20</v>
      </c>
      <c r="E100" s="7" t="s">
        <v>21</v>
      </c>
      <c r="F100" s="7" t="s">
        <v>22</v>
      </c>
      <c r="G100" s="7" t="s">
        <v>23</v>
      </c>
      <c r="H100" s="7" t="s">
        <v>35</v>
      </c>
      <c r="I100" s="6" t="s">
        <v>25</v>
      </c>
      <c r="J100" s="6"/>
      <c r="K100" s="6" t="s">
        <v>72</v>
      </c>
      <c r="L100" s="6" t="s">
        <v>73</v>
      </c>
      <c r="M100" s="10">
        <v>0</v>
      </c>
      <c r="N100" s="10">
        <v>0</v>
      </c>
      <c r="O100" s="10">
        <v>17093.045301307458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17093.045301307458</v>
      </c>
      <c r="AL100" s="10">
        <v>0</v>
      </c>
      <c r="AM100" s="10">
        <v>0</v>
      </c>
      <c r="AN100" s="10">
        <v>0</v>
      </c>
      <c r="AO100" s="10">
        <v>0</v>
      </c>
      <c r="AP100" s="16">
        <f t="shared" si="2"/>
        <v>17093.045301307458</v>
      </c>
    </row>
    <row r="101" spans="1:42" x14ac:dyDescent="0.25">
      <c r="A101" s="6" t="s">
        <v>34</v>
      </c>
      <c r="B101" s="6" t="s">
        <v>18</v>
      </c>
      <c r="C101" s="6" t="s">
        <v>19</v>
      </c>
      <c r="D101" s="7" t="s">
        <v>20</v>
      </c>
      <c r="E101" s="7" t="s">
        <v>21</v>
      </c>
      <c r="F101" s="7" t="s">
        <v>22</v>
      </c>
      <c r="G101" s="7" t="s">
        <v>23</v>
      </c>
      <c r="H101" s="7" t="s">
        <v>35</v>
      </c>
      <c r="I101" s="6" t="s">
        <v>25</v>
      </c>
      <c r="J101" s="6"/>
      <c r="K101" s="6" t="s">
        <v>72</v>
      </c>
      <c r="L101" s="6" t="s">
        <v>73</v>
      </c>
      <c r="M101" s="10">
        <v>12124.113514399467</v>
      </c>
      <c r="N101" s="10">
        <v>12124.113514399467</v>
      </c>
      <c r="O101" s="10">
        <v>12124.113514399467</v>
      </c>
      <c r="P101" s="10">
        <v>12124.113514399467</v>
      </c>
      <c r="Q101" s="10">
        <v>12124.113514399467</v>
      </c>
      <c r="R101" s="10">
        <v>12124.113514399467</v>
      </c>
      <c r="S101" s="10">
        <v>12124.113514399467</v>
      </c>
      <c r="T101" s="10">
        <v>12124.113514399467</v>
      </c>
      <c r="U101" s="10">
        <v>12124.113514399467</v>
      </c>
      <c r="V101" s="10">
        <v>12124.113514399467</v>
      </c>
      <c r="W101" s="10">
        <v>12124.113514399467</v>
      </c>
      <c r="X101" s="10">
        <v>12124.113514399467</v>
      </c>
      <c r="Y101" s="10">
        <v>12124.113514399467</v>
      </c>
      <c r="Z101" s="10">
        <v>12124.113514399467</v>
      </c>
      <c r="AA101" s="10">
        <v>12124.113514399467</v>
      </c>
      <c r="AB101" s="10">
        <v>12124.113514399467</v>
      </c>
      <c r="AC101" s="10">
        <v>12124.113514399467</v>
      </c>
      <c r="AD101" s="10">
        <v>12124.113514399467</v>
      </c>
      <c r="AE101" s="10">
        <v>12124.113514399467</v>
      </c>
      <c r="AF101" s="10">
        <v>12124.113514399467</v>
      </c>
      <c r="AG101" s="10">
        <v>12124.113514399467</v>
      </c>
      <c r="AH101" s="10">
        <v>12124.113514399467</v>
      </c>
      <c r="AI101" s="10">
        <v>12124.113514399467</v>
      </c>
      <c r="AJ101" s="10">
        <v>12124.113514399467</v>
      </c>
      <c r="AK101" s="10">
        <v>145489.3621727936</v>
      </c>
      <c r="AL101" s="10">
        <v>145489.3621727936</v>
      </c>
      <c r="AM101" s="10">
        <v>0</v>
      </c>
      <c r="AN101" s="10">
        <v>0</v>
      </c>
      <c r="AO101" s="10">
        <v>0</v>
      </c>
      <c r="AP101" s="16">
        <f t="shared" si="2"/>
        <v>290978.72434558719</v>
      </c>
    </row>
    <row r="102" spans="1:42" x14ac:dyDescent="0.25">
      <c r="A102" s="6" t="s">
        <v>34</v>
      </c>
      <c r="B102" s="6" t="s">
        <v>18</v>
      </c>
      <c r="C102" s="6" t="s">
        <v>19</v>
      </c>
      <c r="D102" s="7" t="s">
        <v>20</v>
      </c>
      <c r="E102" s="7" t="s">
        <v>21</v>
      </c>
      <c r="F102" s="7" t="s">
        <v>22</v>
      </c>
      <c r="G102" s="7" t="s">
        <v>23</v>
      </c>
      <c r="H102" s="7" t="s">
        <v>35</v>
      </c>
      <c r="I102" s="6" t="s">
        <v>25</v>
      </c>
      <c r="J102" s="6"/>
      <c r="K102" s="6" t="s">
        <v>72</v>
      </c>
      <c r="L102" s="6" t="s">
        <v>73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44651.307656015524</v>
      </c>
      <c r="V102" s="10">
        <v>43199.709327460499</v>
      </c>
      <c r="W102" s="10">
        <v>32817.84946770237</v>
      </c>
      <c r="X102" s="10">
        <v>54188.528096949609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174857.39454812801</v>
      </c>
      <c r="AL102" s="10">
        <v>0</v>
      </c>
      <c r="AM102" s="10">
        <v>0</v>
      </c>
      <c r="AN102" s="10">
        <v>0</v>
      </c>
      <c r="AO102" s="10">
        <v>0</v>
      </c>
      <c r="AP102" s="16">
        <f t="shared" si="2"/>
        <v>174857.39454812801</v>
      </c>
    </row>
    <row r="103" spans="1:42" x14ac:dyDescent="0.25">
      <c r="A103" s="6" t="s">
        <v>34</v>
      </c>
      <c r="B103" s="6" t="s">
        <v>18</v>
      </c>
      <c r="C103" s="6" t="s">
        <v>19</v>
      </c>
      <c r="D103" s="7" t="s">
        <v>20</v>
      </c>
      <c r="E103" s="7" t="s">
        <v>21</v>
      </c>
      <c r="F103" s="7" t="s">
        <v>22</v>
      </c>
      <c r="G103" s="7" t="s">
        <v>23</v>
      </c>
      <c r="H103" s="7" t="s">
        <v>35</v>
      </c>
      <c r="I103" s="6" t="s">
        <v>25</v>
      </c>
      <c r="J103" s="6"/>
      <c r="K103" s="6" t="s">
        <v>72</v>
      </c>
      <c r="L103" s="6" t="s">
        <v>73</v>
      </c>
      <c r="M103" s="10">
        <v>0</v>
      </c>
      <c r="N103" s="10">
        <v>0</v>
      </c>
      <c r="O103" s="10">
        <v>0</v>
      </c>
      <c r="P103" s="10">
        <v>0</v>
      </c>
      <c r="Q103" s="10">
        <v>81991.11848677638</v>
      </c>
      <c r="R103" s="10">
        <v>0</v>
      </c>
      <c r="S103" s="10">
        <v>81991.11848677638</v>
      </c>
      <c r="T103" s="10">
        <v>81991.11848677638</v>
      </c>
      <c r="U103" s="10">
        <v>0</v>
      </c>
      <c r="V103" s="10">
        <v>40995.556579148659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286968.91203947779</v>
      </c>
      <c r="AL103" s="10">
        <v>0</v>
      </c>
      <c r="AM103" s="10">
        <v>0</v>
      </c>
      <c r="AN103" s="10">
        <v>0</v>
      </c>
      <c r="AO103" s="10">
        <v>0</v>
      </c>
      <c r="AP103" s="16">
        <f t="shared" si="2"/>
        <v>286968.91203947779</v>
      </c>
    </row>
    <row r="104" spans="1:42" x14ac:dyDescent="0.25">
      <c r="A104" s="6" t="s">
        <v>28</v>
      </c>
      <c r="B104" s="6" t="s">
        <v>18</v>
      </c>
      <c r="C104" s="6" t="s">
        <v>19</v>
      </c>
      <c r="D104" s="7" t="s">
        <v>20</v>
      </c>
      <c r="E104" s="7" t="s">
        <v>21</v>
      </c>
      <c r="F104" s="7" t="s">
        <v>22</v>
      </c>
      <c r="G104" s="7" t="s">
        <v>23</v>
      </c>
      <c r="H104" s="7" t="s">
        <v>29</v>
      </c>
      <c r="I104" s="6" t="s">
        <v>25</v>
      </c>
      <c r="J104" s="6"/>
      <c r="K104" s="6" t="s">
        <v>72</v>
      </c>
      <c r="L104" s="6" t="s">
        <v>73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7967.3774907224079</v>
      </c>
      <c r="U104" s="10">
        <v>0</v>
      </c>
      <c r="V104" s="10">
        <v>7967.3774907224079</v>
      </c>
      <c r="W104" s="10">
        <v>0</v>
      </c>
      <c r="X104" s="10">
        <v>7967.3774907224079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23902.132472167224</v>
      </c>
      <c r="AL104" s="10">
        <v>0</v>
      </c>
      <c r="AM104" s="10">
        <v>0</v>
      </c>
      <c r="AN104" s="10">
        <v>0</v>
      </c>
      <c r="AO104" s="10">
        <v>0</v>
      </c>
      <c r="AP104" s="16">
        <f t="shared" si="2"/>
        <v>23902.132472167224</v>
      </c>
    </row>
    <row r="105" spans="1:42" x14ac:dyDescent="0.25">
      <c r="A105" s="6" t="s">
        <v>30</v>
      </c>
      <c r="B105" s="6" t="s">
        <v>18</v>
      </c>
      <c r="C105" s="6" t="s">
        <v>19</v>
      </c>
      <c r="D105" s="7" t="s">
        <v>20</v>
      </c>
      <c r="E105" s="7" t="s">
        <v>21</v>
      </c>
      <c r="F105" s="7" t="s">
        <v>22</v>
      </c>
      <c r="G105" s="7" t="s">
        <v>23</v>
      </c>
      <c r="H105" s="7" t="s">
        <v>31</v>
      </c>
      <c r="I105" s="6" t="s">
        <v>25</v>
      </c>
      <c r="J105" s="6"/>
      <c r="K105" s="6" t="s">
        <v>72</v>
      </c>
      <c r="L105" s="6" t="s">
        <v>73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3106.5307038996443</v>
      </c>
      <c r="U105" s="10">
        <v>0</v>
      </c>
      <c r="V105" s="10">
        <v>3106.5307038996443</v>
      </c>
      <c r="W105" s="10">
        <v>0</v>
      </c>
      <c r="X105" s="10">
        <v>3106.5307038996443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9319.5921116989339</v>
      </c>
      <c r="AL105" s="10">
        <v>0</v>
      </c>
      <c r="AM105" s="10">
        <v>0</v>
      </c>
      <c r="AN105" s="10">
        <v>0</v>
      </c>
      <c r="AO105" s="10">
        <v>0</v>
      </c>
      <c r="AP105" s="16">
        <f t="shared" si="2"/>
        <v>9319.5921116989339</v>
      </c>
    </row>
    <row r="106" spans="1:42" x14ac:dyDescent="0.25">
      <c r="A106" s="6" t="s">
        <v>32</v>
      </c>
      <c r="B106" s="6" t="s">
        <v>18</v>
      </c>
      <c r="C106" s="6" t="s">
        <v>19</v>
      </c>
      <c r="D106" s="7" t="s">
        <v>20</v>
      </c>
      <c r="E106" s="7" t="s">
        <v>21</v>
      </c>
      <c r="F106" s="7" t="s">
        <v>22</v>
      </c>
      <c r="G106" s="7" t="s">
        <v>23</v>
      </c>
      <c r="H106" s="7" t="s">
        <v>33</v>
      </c>
      <c r="I106" s="6" t="s">
        <v>25</v>
      </c>
      <c r="J106" s="6"/>
      <c r="K106" s="6" t="s">
        <v>72</v>
      </c>
      <c r="L106" s="6" t="s">
        <v>73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817.7759690221892</v>
      </c>
      <c r="U106" s="10">
        <v>0</v>
      </c>
      <c r="V106" s="10">
        <v>817.7759690221892</v>
      </c>
      <c r="W106" s="10">
        <v>0</v>
      </c>
      <c r="X106" s="10">
        <v>817.7759690221892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2453.3279070665676</v>
      </c>
      <c r="AL106" s="10">
        <v>0</v>
      </c>
      <c r="AM106" s="10">
        <v>0</v>
      </c>
      <c r="AN106" s="10">
        <v>0</v>
      </c>
      <c r="AO106" s="10">
        <v>0</v>
      </c>
      <c r="AP106" s="16">
        <f t="shared" si="2"/>
        <v>2453.3279070665676</v>
      </c>
    </row>
    <row r="107" spans="1:42" x14ac:dyDescent="0.25">
      <c r="A107" s="6" t="s">
        <v>34</v>
      </c>
      <c r="B107" s="6" t="s">
        <v>18</v>
      </c>
      <c r="C107" s="6" t="s">
        <v>19</v>
      </c>
      <c r="D107" s="7" t="s">
        <v>20</v>
      </c>
      <c r="E107" s="7" t="s">
        <v>21</v>
      </c>
      <c r="F107" s="7" t="s">
        <v>22</v>
      </c>
      <c r="G107" s="7" t="s">
        <v>23</v>
      </c>
      <c r="H107" s="7" t="s">
        <v>35</v>
      </c>
      <c r="I107" s="6" t="s">
        <v>25</v>
      </c>
      <c r="J107" s="6"/>
      <c r="K107" s="6" t="s">
        <v>72</v>
      </c>
      <c r="L107" s="6" t="s">
        <v>73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5074.6222476044968</v>
      </c>
      <c r="U107" s="10">
        <v>0</v>
      </c>
      <c r="V107" s="10">
        <v>5074.6222476044968</v>
      </c>
      <c r="W107" s="10">
        <v>0</v>
      </c>
      <c r="X107" s="10">
        <v>5074.6222476044968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15223.866742813492</v>
      </c>
      <c r="AL107" s="10">
        <v>0</v>
      </c>
      <c r="AM107" s="10">
        <v>0</v>
      </c>
      <c r="AN107" s="10">
        <v>0</v>
      </c>
      <c r="AO107" s="10">
        <v>0</v>
      </c>
      <c r="AP107" s="16">
        <f t="shared" si="2"/>
        <v>15223.866742813492</v>
      </c>
    </row>
    <row r="108" spans="1:42" x14ac:dyDescent="0.25">
      <c r="A108" s="6" t="s">
        <v>28</v>
      </c>
      <c r="B108" s="6" t="s">
        <v>18</v>
      </c>
      <c r="C108" s="6" t="s">
        <v>19</v>
      </c>
      <c r="D108" s="7" t="s">
        <v>20</v>
      </c>
      <c r="E108" s="7" t="s">
        <v>21</v>
      </c>
      <c r="F108" s="7" t="s">
        <v>22</v>
      </c>
      <c r="G108" s="7" t="s">
        <v>23</v>
      </c>
      <c r="H108" s="7" t="s">
        <v>29</v>
      </c>
      <c r="I108" s="6" t="s">
        <v>25</v>
      </c>
      <c r="J108" s="6"/>
      <c r="K108" s="6" t="s">
        <v>72</v>
      </c>
      <c r="L108" s="6" t="s">
        <v>73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5930.5289551322876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5930.5289551322876</v>
      </c>
      <c r="AL108" s="10">
        <v>0</v>
      </c>
      <c r="AM108" s="10">
        <v>0</v>
      </c>
      <c r="AN108" s="10">
        <v>0</v>
      </c>
      <c r="AO108" s="10">
        <v>0</v>
      </c>
      <c r="AP108" s="16">
        <f t="shared" si="2"/>
        <v>5930.5289551322876</v>
      </c>
    </row>
    <row r="109" spans="1:42" x14ac:dyDescent="0.25">
      <c r="A109" s="6" t="s">
        <v>30</v>
      </c>
      <c r="B109" s="6" t="s">
        <v>18</v>
      </c>
      <c r="C109" s="6" t="s">
        <v>19</v>
      </c>
      <c r="D109" s="7" t="s">
        <v>20</v>
      </c>
      <c r="E109" s="7" t="s">
        <v>21</v>
      </c>
      <c r="F109" s="7" t="s">
        <v>22</v>
      </c>
      <c r="G109" s="7" t="s">
        <v>23</v>
      </c>
      <c r="H109" s="7" t="s">
        <v>31</v>
      </c>
      <c r="I109" s="6" t="s">
        <v>25</v>
      </c>
      <c r="J109" s="6"/>
      <c r="K109" s="6" t="s">
        <v>72</v>
      </c>
      <c r="L109" s="6" t="s">
        <v>73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2312.3506211344161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2312.3506211344161</v>
      </c>
      <c r="AL109" s="10">
        <v>0</v>
      </c>
      <c r="AM109" s="10">
        <v>0</v>
      </c>
      <c r="AN109" s="10">
        <v>0</v>
      </c>
      <c r="AO109" s="10">
        <v>0</v>
      </c>
      <c r="AP109" s="16">
        <f t="shared" si="2"/>
        <v>2312.3506211344161</v>
      </c>
    </row>
    <row r="110" spans="1:42" x14ac:dyDescent="0.25">
      <c r="A110" s="6" t="s">
        <v>32</v>
      </c>
      <c r="B110" s="6" t="s">
        <v>18</v>
      </c>
      <c r="C110" s="6" t="s">
        <v>19</v>
      </c>
      <c r="D110" s="7" t="s">
        <v>20</v>
      </c>
      <c r="E110" s="7" t="s">
        <v>21</v>
      </c>
      <c r="F110" s="7" t="s">
        <v>22</v>
      </c>
      <c r="G110" s="7" t="s">
        <v>23</v>
      </c>
      <c r="H110" s="7" t="s">
        <v>33</v>
      </c>
      <c r="I110" s="6" t="s">
        <v>25</v>
      </c>
      <c r="J110" s="6"/>
      <c r="K110" s="6" t="s">
        <v>72</v>
      </c>
      <c r="L110" s="6" t="s">
        <v>73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608.71272495182336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608.71272495182336</v>
      </c>
      <c r="AL110" s="10">
        <v>0</v>
      </c>
      <c r="AM110" s="10">
        <v>0</v>
      </c>
      <c r="AN110" s="10">
        <v>0</v>
      </c>
      <c r="AO110" s="10">
        <v>0</v>
      </c>
      <c r="AP110" s="16">
        <f t="shared" si="2"/>
        <v>608.71272495182336</v>
      </c>
    </row>
    <row r="111" spans="1:42" x14ac:dyDescent="0.25">
      <c r="A111" s="6" t="s">
        <v>34</v>
      </c>
      <c r="B111" s="6" t="s">
        <v>18</v>
      </c>
      <c r="C111" s="6" t="s">
        <v>19</v>
      </c>
      <c r="D111" s="7" t="s">
        <v>20</v>
      </c>
      <c r="E111" s="7" t="s">
        <v>21</v>
      </c>
      <c r="F111" s="7" t="s">
        <v>22</v>
      </c>
      <c r="G111" s="7" t="s">
        <v>23</v>
      </c>
      <c r="H111" s="7" t="s">
        <v>35</v>
      </c>
      <c r="I111" s="6" t="s">
        <v>25</v>
      </c>
      <c r="J111" s="6"/>
      <c r="K111" s="6" t="s">
        <v>72</v>
      </c>
      <c r="L111" s="6" t="s">
        <v>73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3777.302407325526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3777.302407325526</v>
      </c>
      <c r="AL111" s="10">
        <v>0</v>
      </c>
      <c r="AM111" s="10">
        <v>0</v>
      </c>
      <c r="AN111" s="10">
        <v>0</v>
      </c>
      <c r="AO111" s="10">
        <v>0</v>
      </c>
      <c r="AP111" s="16">
        <f t="shared" si="2"/>
        <v>3777.302407325526</v>
      </c>
    </row>
    <row r="112" spans="1:42" x14ac:dyDescent="0.25">
      <c r="A112" s="6" t="s">
        <v>28</v>
      </c>
      <c r="B112" s="6" t="s">
        <v>18</v>
      </c>
      <c r="C112" s="6" t="s">
        <v>19</v>
      </c>
      <c r="D112" s="7" t="s">
        <v>20</v>
      </c>
      <c r="E112" s="7" t="s">
        <v>21</v>
      </c>
      <c r="F112" s="7" t="s">
        <v>22</v>
      </c>
      <c r="G112" s="7" t="s">
        <v>23</v>
      </c>
      <c r="H112" s="7" t="s">
        <v>29</v>
      </c>
      <c r="I112" s="6" t="s">
        <v>25</v>
      </c>
      <c r="J112" s="6"/>
      <c r="K112" s="6" t="s">
        <v>72</v>
      </c>
      <c r="L112" s="6" t="s">
        <v>73</v>
      </c>
      <c r="M112" s="10">
        <v>72390.675573699744</v>
      </c>
      <c r="N112" s="10">
        <v>72390.675573699744</v>
      </c>
      <c r="O112" s="10">
        <v>72390.675573699744</v>
      </c>
      <c r="P112" s="10">
        <v>72390.675573699744</v>
      </c>
      <c r="Q112" s="10">
        <v>72390.675573699744</v>
      </c>
      <c r="R112" s="10">
        <v>72390.675573699744</v>
      </c>
      <c r="S112" s="10">
        <v>72390.675573699744</v>
      </c>
      <c r="T112" s="10">
        <v>72390.675573699744</v>
      </c>
      <c r="U112" s="10">
        <v>72390.675573699744</v>
      </c>
      <c r="V112" s="10">
        <v>72390.675573699744</v>
      </c>
      <c r="W112" s="10">
        <v>72390.675573699744</v>
      </c>
      <c r="X112" s="10">
        <v>72390.675573699744</v>
      </c>
      <c r="Y112" s="10">
        <v>115806.43662386063</v>
      </c>
      <c r="Z112" s="10">
        <v>115806.43662386063</v>
      </c>
      <c r="AA112" s="10">
        <v>115806.43662386063</v>
      </c>
      <c r="AB112" s="10">
        <v>115806.43662386063</v>
      </c>
      <c r="AC112" s="10">
        <v>115806.43662386063</v>
      </c>
      <c r="AD112" s="10">
        <v>115806.43662386063</v>
      </c>
      <c r="AE112" s="10">
        <v>115806.43662386063</v>
      </c>
      <c r="AF112" s="10">
        <v>115806.43662386063</v>
      </c>
      <c r="AG112" s="10">
        <v>115806.43662386063</v>
      </c>
      <c r="AH112" s="10">
        <v>115806.43662386063</v>
      </c>
      <c r="AI112" s="10">
        <v>115806.43662386063</v>
      </c>
      <c r="AJ112" s="10">
        <v>115806.43662386063</v>
      </c>
      <c r="AK112" s="10">
        <v>868688.10688439698</v>
      </c>
      <c r="AL112" s="10">
        <v>1389677.2394863276</v>
      </c>
      <c r="AM112" s="10">
        <v>0</v>
      </c>
      <c r="AN112" s="10">
        <v>0</v>
      </c>
      <c r="AO112" s="10">
        <v>0</v>
      </c>
      <c r="AP112" s="16">
        <f t="shared" si="2"/>
        <v>2258365.3463707245</v>
      </c>
    </row>
    <row r="113" spans="1:42" x14ac:dyDescent="0.25">
      <c r="A113" s="6" t="s">
        <v>30</v>
      </c>
      <c r="B113" s="6" t="s">
        <v>18</v>
      </c>
      <c r="C113" s="6" t="s">
        <v>19</v>
      </c>
      <c r="D113" s="7" t="s">
        <v>20</v>
      </c>
      <c r="E113" s="7" t="s">
        <v>21</v>
      </c>
      <c r="F113" s="7" t="s">
        <v>22</v>
      </c>
      <c r="G113" s="7" t="s">
        <v>23</v>
      </c>
      <c r="H113" s="7" t="s">
        <v>31</v>
      </c>
      <c r="I113" s="6" t="s">
        <v>25</v>
      </c>
      <c r="J113" s="6"/>
      <c r="K113" s="6" t="s">
        <v>72</v>
      </c>
      <c r="L113" s="6" t="s">
        <v>73</v>
      </c>
      <c r="M113" s="10">
        <v>28225.580701755585</v>
      </c>
      <c r="N113" s="10">
        <v>28225.580701755585</v>
      </c>
      <c r="O113" s="10">
        <v>28225.580701755585</v>
      </c>
      <c r="P113" s="10">
        <v>28225.580701755585</v>
      </c>
      <c r="Q113" s="10">
        <v>28225.580701755585</v>
      </c>
      <c r="R113" s="10">
        <v>28225.580701755585</v>
      </c>
      <c r="S113" s="10">
        <v>28225.580701755585</v>
      </c>
      <c r="T113" s="10">
        <v>28225.580701755585</v>
      </c>
      <c r="U113" s="10">
        <v>28225.580701755585</v>
      </c>
      <c r="V113" s="10">
        <v>28225.580701755585</v>
      </c>
      <c r="W113" s="10">
        <v>28225.580701755585</v>
      </c>
      <c r="X113" s="10">
        <v>28225.580701755585</v>
      </c>
      <c r="Y113" s="10">
        <v>45153.659595035941</v>
      </c>
      <c r="Z113" s="10">
        <v>45153.659595035941</v>
      </c>
      <c r="AA113" s="10">
        <v>45153.659595035941</v>
      </c>
      <c r="AB113" s="10">
        <v>45153.659595035941</v>
      </c>
      <c r="AC113" s="10">
        <v>45153.659595035941</v>
      </c>
      <c r="AD113" s="10">
        <v>45153.659595035941</v>
      </c>
      <c r="AE113" s="10">
        <v>45153.659595035941</v>
      </c>
      <c r="AF113" s="10">
        <v>45153.659595035941</v>
      </c>
      <c r="AG113" s="10">
        <v>45153.659595035941</v>
      </c>
      <c r="AH113" s="10">
        <v>45153.659595035941</v>
      </c>
      <c r="AI113" s="10">
        <v>45153.659595035941</v>
      </c>
      <c r="AJ113" s="10">
        <v>45153.659595035941</v>
      </c>
      <c r="AK113" s="10">
        <v>338706.96842106694</v>
      </c>
      <c r="AL113" s="10">
        <v>541843.91514043149</v>
      </c>
      <c r="AM113" s="10">
        <v>0</v>
      </c>
      <c r="AN113" s="10">
        <v>0</v>
      </c>
      <c r="AO113" s="10">
        <v>0</v>
      </c>
      <c r="AP113" s="16">
        <f t="shared" si="2"/>
        <v>880550.88356149849</v>
      </c>
    </row>
    <row r="114" spans="1:42" x14ac:dyDescent="0.25">
      <c r="A114" s="6" t="s">
        <v>32</v>
      </c>
      <c r="B114" s="6" t="s">
        <v>18</v>
      </c>
      <c r="C114" s="6" t="s">
        <v>19</v>
      </c>
      <c r="D114" s="7" t="s">
        <v>20</v>
      </c>
      <c r="E114" s="7" t="s">
        <v>21</v>
      </c>
      <c r="F114" s="7" t="s">
        <v>22</v>
      </c>
      <c r="G114" s="7" t="s">
        <v>23</v>
      </c>
      <c r="H114" s="7" t="s">
        <v>33</v>
      </c>
      <c r="I114" s="6" t="s">
        <v>25</v>
      </c>
      <c r="J114" s="6"/>
      <c r="K114" s="6" t="s">
        <v>72</v>
      </c>
      <c r="L114" s="6" t="s">
        <v>73</v>
      </c>
      <c r="M114" s="10">
        <v>7430.2184042851959</v>
      </c>
      <c r="N114" s="10">
        <v>7430.2184042851959</v>
      </c>
      <c r="O114" s="10">
        <v>7430.2184042851959</v>
      </c>
      <c r="P114" s="10">
        <v>7430.2184042851959</v>
      </c>
      <c r="Q114" s="10">
        <v>7430.2184042851959</v>
      </c>
      <c r="R114" s="10">
        <v>7430.2184042851959</v>
      </c>
      <c r="S114" s="10">
        <v>7430.2184042851959</v>
      </c>
      <c r="T114" s="10">
        <v>7430.2184042851959</v>
      </c>
      <c r="U114" s="10">
        <v>7430.2184042851959</v>
      </c>
      <c r="V114" s="10">
        <v>7430.2184042851959</v>
      </c>
      <c r="W114" s="10">
        <v>7430.2184042851959</v>
      </c>
      <c r="X114" s="10">
        <v>7430.2184042851959</v>
      </c>
      <c r="Y114" s="10">
        <v>11886.435786350261</v>
      </c>
      <c r="Z114" s="10">
        <v>11886.435786350261</v>
      </c>
      <c r="AA114" s="10">
        <v>11886.435786350261</v>
      </c>
      <c r="AB114" s="10">
        <v>11886.435786350261</v>
      </c>
      <c r="AC114" s="10">
        <v>11886.435786350261</v>
      </c>
      <c r="AD114" s="10">
        <v>11886.435786350261</v>
      </c>
      <c r="AE114" s="10">
        <v>11886.435786350261</v>
      </c>
      <c r="AF114" s="10">
        <v>11886.435786350261</v>
      </c>
      <c r="AG114" s="10">
        <v>11886.435786350261</v>
      </c>
      <c r="AH114" s="10">
        <v>11886.435786350261</v>
      </c>
      <c r="AI114" s="10">
        <v>11886.435786350261</v>
      </c>
      <c r="AJ114" s="10">
        <v>11886.435786350261</v>
      </c>
      <c r="AK114" s="10">
        <v>89162.620851422384</v>
      </c>
      <c r="AL114" s="10">
        <v>142637.22943620311</v>
      </c>
      <c r="AM114" s="10">
        <v>0</v>
      </c>
      <c r="AN114" s="10">
        <v>0</v>
      </c>
      <c r="AO114" s="10">
        <v>0</v>
      </c>
      <c r="AP114" s="16">
        <f t="shared" si="2"/>
        <v>231799.85028762551</v>
      </c>
    </row>
    <row r="115" spans="1:42" x14ac:dyDescent="0.25">
      <c r="A115" s="6" t="s">
        <v>34</v>
      </c>
      <c r="B115" s="6" t="s">
        <v>18</v>
      </c>
      <c r="C115" s="6" t="s">
        <v>19</v>
      </c>
      <c r="D115" s="7" t="s">
        <v>20</v>
      </c>
      <c r="E115" s="7" t="s">
        <v>21</v>
      </c>
      <c r="F115" s="7" t="s">
        <v>22</v>
      </c>
      <c r="G115" s="7" t="s">
        <v>23</v>
      </c>
      <c r="H115" s="7" t="s">
        <v>35</v>
      </c>
      <c r="I115" s="6" t="s">
        <v>25</v>
      </c>
      <c r="J115" s="6"/>
      <c r="K115" s="6" t="s">
        <v>72</v>
      </c>
      <c r="L115" s="6" t="s">
        <v>73</v>
      </c>
      <c r="M115" s="10">
        <v>46107.434122856866</v>
      </c>
      <c r="N115" s="10">
        <v>46107.434122856866</v>
      </c>
      <c r="O115" s="10">
        <v>46107.434122856866</v>
      </c>
      <c r="P115" s="10">
        <v>46107.434122856866</v>
      </c>
      <c r="Q115" s="10">
        <v>46107.434122856866</v>
      </c>
      <c r="R115" s="10">
        <v>46107.434122856866</v>
      </c>
      <c r="S115" s="10">
        <v>46107.434122856866</v>
      </c>
      <c r="T115" s="10">
        <v>46107.434122856866</v>
      </c>
      <c r="U115" s="10">
        <v>46107.434122856866</v>
      </c>
      <c r="V115" s="10">
        <v>46107.434122856866</v>
      </c>
      <c r="W115" s="10">
        <v>46107.434122856866</v>
      </c>
      <c r="X115" s="10">
        <v>46107.434122856866</v>
      </c>
      <c r="Y115" s="10">
        <v>73760.019578783438</v>
      </c>
      <c r="Z115" s="10">
        <v>73760.019578783438</v>
      </c>
      <c r="AA115" s="10">
        <v>73760.019578783438</v>
      </c>
      <c r="AB115" s="10">
        <v>73760.019578783438</v>
      </c>
      <c r="AC115" s="10">
        <v>73760.019578783438</v>
      </c>
      <c r="AD115" s="10">
        <v>73760.019578783438</v>
      </c>
      <c r="AE115" s="10">
        <v>73760.019578783438</v>
      </c>
      <c r="AF115" s="10">
        <v>73760.019578783438</v>
      </c>
      <c r="AG115" s="10">
        <v>73760.019578783438</v>
      </c>
      <c r="AH115" s="10">
        <v>73760.019578783438</v>
      </c>
      <c r="AI115" s="10">
        <v>73760.019578783438</v>
      </c>
      <c r="AJ115" s="10">
        <v>73760.019578783438</v>
      </c>
      <c r="AK115" s="10">
        <v>553289.20947428246</v>
      </c>
      <c r="AL115" s="10">
        <v>885120.23494540143</v>
      </c>
      <c r="AM115" s="10">
        <v>0</v>
      </c>
      <c r="AN115" s="10">
        <v>0</v>
      </c>
      <c r="AO115" s="10">
        <v>0</v>
      </c>
      <c r="AP115" s="16">
        <f t="shared" si="2"/>
        <v>1438409.4444196839</v>
      </c>
    </row>
    <row r="116" spans="1:42" x14ac:dyDescent="0.25">
      <c r="A116" s="6" t="s">
        <v>28</v>
      </c>
      <c r="B116" s="6" t="s">
        <v>18</v>
      </c>
      <c r="C116" s="6" t="s">
        <v>19</v>
      </c>
      <c r="D116" s="7" t="s">
        <v>20</v>
      </c>
      <c r="E116" s="7" t="s">
        <v>21</v>
      </c>
      <c r="F116" s="7" t="s">
        <v>22</v>
      </c>
      <c r="G116" s="7" t="s">
        <v>23</v>
      </c>
      <c r="H116" s="7" t="s">
        <v>29</v>
      </c>
      <c r="I116" s="6" t="s">
        <v>25</v>
      </c>
      <c r="J116" s="6"/>
      <c r="K116" s="6" t="s">
        <v>74</v>
      </c>
      <c r="L116" s="6" t="s">
        <v>75</v>
      </c>
      <c r="M116" s="10">
        <v>0</v>
      </c>
      <c r="N116" s="10">
        <v>0</v>
      </c>
      <c r="O116" s="10">
        <v>139551.26597999307</v>
      </c>
      <c r="P116" s="10">
        <v>139551.26597999307</v>
      </c>
      <c r="Q116" s="10">
        <v>139551.26597999307</v>
      </c>
      <c r="R116" s="10">
        <v>296079.94125800399</v>
      </c>
      <c r="S116" s="10">
        <v>296079.94125800399</v>
      </c>
      <c r="T116" s="10">
        <v>296079.94125800399</v>
      </c>
      <c r="U116" s="10">
        <v>296079.94125800399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1602973.5629719954</v>
      </c>
      <c r="AL116" s="10">
        <v>0</v>
      </c>
      <c r="AM116" s="10">
        <v>0</v>
      </c>
      <c r="AN116" s="10">
        <v>0</v>
      </c>
      <c r="AO116" s="10">
        <v>0</v>
      </c>
      <c r="AP116" s="16">
        <f t="shared" si="2"/>
        <v>1602973.5629719954</v>
      </c>
    </row>
    <row r="117" spans="1:42" x14ac:dyDescent="0.25">
      <c r="A117" s="6" t="s">
        <v>30</v>
      </c>
      <c r="B117" s="6" t="s">
        <v>18</v>
      </c>
      <c r="C117" s="6" t="s">
        <v>19</v>
      </c>
      <c r="D117" s="7" t="s">
        <v>20</v>
      </c>
      <c r="E117" s="7" t="s">
        <v>21</v>
      </c>
      <c r="F117" s="7" t="s">
        <v>22</v>
      </c>
      <c r="G117" s="7" t="s">
        <v>23</v>
      </c>
      <c r="H117" s="7" t="s">
        <v>31</v>
      </c>
      <c r="I117" s="6" t="s">
        <v>25</v>
      </c>
      <c r="J117" s="6"/>
      <c r="K117" s="6" t="s">
        <v>74</v>
      </c>
      <c r="L117" s="6" t="s">
        <v>75</v>
      </c>
      <c r="M117" s="10">
        <v>0</v>
      </c>
      <c r="N117" s="10">
        <v>0</v>
      </c>
      <c r="O117" s="10">
        <v>53445.165694465424</v>
      </c>
      <c r="P117" s="10">
        <v>53445.165694465424</v>
      </c>
      <c r="Q117" s="10">
        <v>53445.165694465424</v>
      </c>
      <c r="R117" s="10">
        <v>113392.31792859729</v>
      </c>
      <c r="S117" s="10">
        <v>113392.31792859729</v>
      </c>
      <c r="T117" s="10">
        <v>113392.31792859729</v>
      </c>
      <c r="U117" s="10">
        <v>113392.31792859729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  <c r="AI117" s="10">
        <v>0</v>
      </c>
      <c r="AJ117" s="10">
        <v>0</v>
      </c>
      <c r="AK117" s="10">
        <v>613904.76879778539</v>
      </c>
      <c r="AL117" s="10">
        <v>0</v>
      </c>
      <c r="AM117" s="10">
        <v>0</v>
      </c>
      <c r="AN117" s="10">
        <v>0</v>
      </c>
      <c r="AO117" s="10">
        <v>0</v>
      </c>
      <c r="AP117" s="16">
        <f t="shared" si="2"/>
        <v>613904.76879778539</v>
      </c>
    </row>
    <row r="118" spans="1:42" x14ac:dyDescent="0.25">
      <c r="A118" s="6" t="s">
        <v>32</v>
      </c>
      <c r="B118" s="6" t="s">
        <v>18</v>
      </c>
      <c r="C118" s="6" t="s">
        <v>19</v>
      </c>
      <c r="D118" s="7" t="s">
        <v>20</v>
      </c>
      <c r="E118" s="7" t="s">
        <v>21</v>
      </c>
      <c r="F118" s="7" t="s">
        <v>22</v>
      </c>
      <c r="G118" s="7" t="s">
        <v>23</v>
      </c>
      <c r="H118" s="7" t="s">
        <v>33</v>
      </c>
      <c r="I118" s="6" t="s">
        <v>25</v>
      </c>
      <c r="J118" s="6"/>
      <c r="K118" s="6" t="s">
        <v>74</v>
      </c>
      <c r="L118" s="6" t="s">
        <v>75</v>
      </c>
      <c r="M118" s="10">
        <v>0</v>
      </c>
      <c r="N118" s="10">
        <v>0</v>
      </c>
      <c r="O118" s="10">
        <v>14845.87935957373</v>
      </c>
      <c r="P118" s="10">
        <v>14845.87935957373</v>
      </c>
      <c r="Q118" s="10">
        <v>14845.87935957373</v>
      </c>
      <c r="R118" s="10">
        <v>31497.866091277021</v>
      </c>
      <c r="S118" s="10">
        <v>31497.866091277021</v>
      </c>
      <c r="T118" s="10">
        <v>31497.866091277021</v>
      </c>
      <c r="U118" s="10">
        <v>31497.866091277021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170529.1024438293</v>
      </c>
      <c r="AL118" s="10">
        <v>0</v>
      </c>
      <c r="AM118" s="10">
        <v>0</v>
      </c>
      <c r="AN118" s="10">
        <v>0</v>
      </c>
      <c r="AO118" s="10">
        <v>0</v>
      </c>
      <c r="AP118" s="16">
        <f t="shared" si="2"/>
        <v>170529.1024438293</v>
      </c>
    </row>
    <row r="119" spans="1:42" x14ac:dyDescent="0.25">
      <c r="A119" s="6" t="s">
        <v>34</v>
      </c>
      <c r="B119" s="6" t="s">
        <v>18</v>
      </c>
      <c r="C119" s="6" t="s">
        <v>19</v>
      </c>
      <c r="D119" s="7" t="s">
        <v>20</v>
      </c>
      <c r="E119" s="7" t="s">
        <v>21</v>
      </c>
      <c r="F119" s="7" t="s">
        <v>22</v>
      </c>
      <c r="G119" s="7" t="s">
        <v>23</v>
      </c>
      <c r="H119" s="7" t="s">
        <v>35</v>
      </c>
      <c r="I119" s="6" t="s">
        <v>25</v>
      </c>
      <c r="J119" s="6"/>
      <c r="K119" s="6" t="s">
        <v>74</v>
      </c>
      <c r="L119" s="6" t="s">
        <v>75</v>
      </c>
      <c r="M119" s="10">
        <v>0</v>
      </c>
      <c r="N119" s="10">
        <v>0</v>
      </c>
      <c r="O119" s="10">
        <v>89075.276157442378</v>
      </c>
      <c r="P119" s="10">
        <v>89075.276157442378</v>
      </c>
      <c r="Q119" s="10">
        <v>89075.276157442378</v>
      </c>
      <c r="R119" s="10">
        <v>188987.19654766214</v>
      </c>
      <c r="S119" s="10">
        <v>188987.19654766214</v>
      </c>
      <c r="T119" s="10">
        <v>188987.19654766214</v>
      </c>
      <c r="U119" s="10">
        <v>188987.19654766214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1023174.6146629758</v>
      </c>
      <c r="AL119" s="10">
        <v>0</v>
      </c>
      <c r="AM119" s="10">
        <v>0</v>
      </c>
      <c r="AN119" s="10">
        <v>0</v>
      </c>
      <c r="AO119" s="10">
        <v>0</v>
      </c>
      <c r="AP119" s="16">
        <f t="shared" si="2"/>
        <v>1023174.6146629758</v>
      </c>
    </row>
    <row r="120" spans="1:42" x14ac:dyDescent="0.25">
      <c r="A120" s="6" t="s">
        <v>28</v>
      </c>
      <c r="B120" s="6" t="s">
        <v>18</v>
      </c>
      <c r="C120" s="6" t="s">
        <v>19</v>
      </c>
      <c r="D120" s="7" t="s">
        <v>20</v>
      </c>
      <c r="E120" s="7" t="s">
        <v>21</v>
      </c>
      <c r="F120" s="7" t="s">
        <v>22</v>
      </c>
      <c r="G120" s="7" t="s">
        <v>23</v>
      </c>
      <c r="H120" s="7" t="s">
        <v>29</v>
      </c>
      <c r="I120" s="6" t="s">
        <v>76</v>
      </c>
      <c r="J120" s="6"/>
      <c r="K120" s="6" t="s">
        <v>74</v>
      </c>
      <c r="L120" s="6" t="s">
        <v>75</v>
      </c>
      <c r="M120" s="10">
        <v>72161.028302652092</v>
      </c>
      <c r="N120" s="10">
        <v>72161.028302652092</v>
      </c>
      <c r="O120" s="10">
        <v>72161.028302652092</v>
      </c>
      <c r="P120" s="10">
        <v>72161.028302652092</v>
      </c>
      <c r="Q120" s="10">
        <v>72161.028302652092</v>
      </c>
      <c r="R120" s="10">
        <v>72161.028302652092</v>
      </c>
      <c r="S120" s="10">
        <v>72161.028302652092</v>
      </c>
      <c r="T120" s="10">
        <v>72161.028302652092</v>
      </c>
      <c r="U120" s="10">
        <v>72161.028302652092</v>
      </c>
      <c r="V120" s="10">
        <v>72161.028302652092</v>
      </c>
      <c r="W120" s="10">
        <v>72161.028302652092</v>
      </c>
      <c r="X120" s="10">
        <v>72161.028302652092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865932.33963182475</v>
      </c>
      <c r="AL120" s="10">
        <v>0</v>
      </c>
      <c r="AM120" s="10">
        <v>0</v>
      </c>
      <c r="AN120" s="10">
        <v>0</v>
      </c>
      <c r="AO120" s="10">
        <v>0</v>
      </c>
      <c r="AP120" s="16">
        <f t="shared" si="2"/>
        <v>865932.33963182475</v>
      </c>
    </row>
    <row r="121" spans="1:42" x14ac:dyDescent="0.25">
      <c r="A121" s="6" t="s">
        <v>30</v>
      </c>
      <c r="B121" s="6" t="s">
        <v>18</v>
      </c>
      <c r="C121" s="6" t="s">
        <v>19</v>
      </c>
      <c r="D121" s="7" t="s">
        <v>20</v>
      </c>
      <c r="E121" s="7" t="s">
        <v>21</v>
      </c>
      <c r="F121" s="7" t="s">
        <v>22</v>
      </c>
      <c r="G121" s="7" t="s">
        <v>23</v>
      </c>
      <c r="H121" s="7" t="s">
        <v>31</v>
      </c>
      <c r="I121" s="6" t="s">
        <v>76</v>
      </c>
      <c r="J121" s="6"/>
      <c r="K121" s="6" t="s">
        <v>74</v>
      </c>
      <c r="L121" s="6" t="s">
        <v>75</v>
      </c>
      <c r="M121" s="10">
        <v>27636.138304916563</v>
      </c>
      <c r="N121" s="10">
        <v>27636.138304916563</v>
      </c>
      <c r="O121" s="10">
        <v>27636.138304916563</v>
      </c>
      <c r="P121" s="10">
        <v>27636.138304916563</v>
      </c>
      <c r="Q121" s="10">
        <v>27636.138304916563</v>
      </c>
      <c r="R121" s="10">
        <v>27636.138304916563</v>
      </c>
      <c r="S121" s="10">
        <v>27636.138304916563</v>
      </c>
      <c r="T121" s="10">
        <v>27636.138304916563</v>
      </c>
      <c r="U121" s="10">
        <v>27636.138304916563</v>
      </c>
      <c r="V121" s="10">
        <v>27636.138304916563</v>
      </c>
      <c r="W121" s="10">
        <v>27636.138304916563</v>
      </c>
      <c r="X121" s="10">
        <v>27636.138304916563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331633.65965899877</v>
      </c>
      <c r="AL121" s="10">
        <v>0</v>
      </c>
      <c r="AM121" s="10">
        <v>0</v>
      </c>
      <c r="AN121" s="10">
        <v>0</v>
      </c>
      <c r="AO121" s="10">
        <v>0</v>
      </c>
      <c r="AP121" s="16">
        <f t="shared" si="2"/>
        <v>331633.65965899877</v>
      </c>
    </row>
    <row r="122" spans="1:42" x14ac:dyDescent="0.25">
      <c r="A122" s="6" t="s">
        <v>32</v>
      </c>
      <c r="B122" s="6" t="s">
        <v>18</v>
      </c>
      <c r="C122" s="6" t="s">
        <v>19</v>
      </c>
      <c r="D122" s="7" t="s">
        <v>20</v>
      </c>
      <c r="E122" s="7" t="s">
        <v>21</v>
      </c>
      <c r="F122" s="7" t="s">
        <v>22</v>
      </c>
      <c r="G122" s="7" t="s">
        <v>23</v>
      </c>
      <c r="H122" s="7" t="s">
        <v>33</v>
      </c>
      <c r="I122" s="6" t="s">
        <v>76</v>
      </c>
      <c r="J122" s="6"/>
      <c r="K122" s="6" t="s">
        <v>74</v>
      </c>
      <c r="L122" s="6" t="s">
        <v>75</v>
      </c>
      <c r="M122" s="10">
        <v>7676.7053120490664</v>
      </c>
      <c r="N122" s="10">
        <v>7676.7053120490664</v>
      </c>
      <c r="O122" s="10">
        <v>7676.7053120490664</v>
      </c>
      <c r="P122" s="10">
        <v>7676.7053120490664</v>
      </c>
      <c r="Q122" s="10">
        <v>7676.7053120490664</v>
      </c>
      <c r="R122" s="10">
        <v>7676.7053120490664</v>
      </c>
      <c r="S122" s="10">
        <v>7676.7053120490664</v>
      </c>
      <c r="T122" s="10">
        <v>7676.7053120490664</v>
      </c>
      <c r="U122" s="10">
        <v>7676.7053120490664</v>
      </c>
      <c r="V122" s="10">
        <v>7676.7053120490664</v>
      </c>
      <c r="W122" s="10">
        <v>7676.7053120490664</v>
      </c>
      <c r="X122" s="10">
        <v>7676.7053120490664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0">
        <v>92120.463744588793</v>
      </c>
      <c r="AL122" s="10">
        <v>0</v>
      </c>
      <c r="AM122" s="10">
        <v>0</v>
      </c>
      <c r="AN122" s="10">
        <v>0</v>
      </c>
      <c r="AO122" s="10">
        <v>0</v>
      </c>
      <c r="AP122" s="16">
        <f t="shared" si="2"/>
        <v>92120.463744588793</v>
      </c>
    </row>
    <row r="123" spans="1:42" x14ac:dyDescent="0.25">
      <c r="A123" s="6" t="s">
        <v>34</v>
      </c>
      <c r="B123" s="6" t="s">
        <v>18</v>
      </c>
      <c r="C123" s="6" t="s">
        <v>19</v>
      </c>
      <c r="D123" s="7" t="s">
        <v>20</v>
      </c>
      <c r="E123" s="7" t="s">
        <v>21</v>
      </c>
      <c r="F123" s="7" t="s">
        <v>22</v>
      </c>
      <c r="G123" s="7" t="s">
        <v>23</v>
      </c>
      <c r="H123" s="7" t="s">
        <v>35</v>
      </c>
      <c r="I123" s="6" t="s">
        <v>76</v>
      </c>
      <c r="J123" s="6"/>
      <c r="K123" s="6" t="s">
        <v>74</v>
      </c>
      <c r="L123" s="6" t="s">
        <v>75</v>
      </c>
      <c r="M123" s="10">
        <v>46060.231060145343</v>
      </c>
      <c r="N123" s="10">
        <v>46060.231060145343</v>
      </c>
      <c r="O123" s="10">
        <v>46060.231060145343</v>
      </c>
      <c r="P123" s="10">
        <v>46060.231060145343</v>
      </c>
      <c r="Q123" s="10">
        <v>46060.231060145343</v>
      </c>
      <c r="R123" s="10">
        <v>46060.231060145343</v>
      </c>
      <c r="S123" s="10">
        <v>46060.231060145343</v>
      </c>
      <c r="T123" s="10">
        <v>46060.231060145343</v>
      </c>
      <c r="U123" s="10">
        <v>46060.231060145343</v>
      </c>
      <c r="V123" s="10">
        <v>46060.231060145343</v>
      </c>
      <c r="W123" s="10">
        <v>46060.231060145343</v>
      </c>
      <c r="X123" s="10">
        <v>46060.231060145343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552722.77272174426</v>
      </c>
      <c r="AL123" s="10">
        <v>0</v>
      </c>
      <c r="AM123" s="10">
        <v>0</v>
      </c>
      <c r="AN123" s="10">
        <v>0</v>
      </c>
      <c r="AO123" s="10">
        <v>0</v>
      </c>
      <c r="AP123" s="16">
        <f t="shared" si="2"/>
        <v>552722.77272174426</v>
      </c>
    </row>
    <row r="124" spans="1:42" x14ac:dyDescent="0.25">
      <c r="A124" s="6" t="s">
        <v>28</v>
      </c>
      <c r="B124" s="6" t="s">
        <v>18</v>
      </c>
      <c r="C124" s="6" t="s">
        <v>62</v>
      </c>
      <c r="D124" s="7" t="s">
        <v>63</v>
      </c>
      <c r="E124" s="7" t="s">
        <v>21</v>
      </c>
      <c r="F124" s="7" t="s">
        <v>64</v>
      </c>
      <c r="G124" s="7" t="s">
        <v>23</v>
      </c>
      <c r="H124" s="7" t="s">
        <v>65</v>
      </c>
      <c r="I124" s="6" t="s">
        <v>66</v>
      </c>
      <c r="J124" s="6"/>
      <c r="K124" s="6" t="s">
        <v>77</v>
      </c>
      <c r="L124" s="6" t="s">
        <v>78</v>
      </c>
      <c r="M124" s="10">
        <v>859875.22052704112</v>
      </c>
      <c r="N124" s="10">
        <v>0</v>
      </c>
      <c r="O124" s="10">
        <v>431228.71419824573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1291103.9347252869</v>
      </c>
      <c r="AL124" s="10">
        <v>0</v>
      </c>
      <c r="AM124" s="10">
        <v>0</v>
      </c>
      <c r="AN124" s="10">
        <v>0</v>
      </c>
      <c r="AO124" s="10">
        <v>0</v>
      </c>
      <c r="AP124" s="16">
        <f t="shared" si="2"/>
        <v>1291103.9347252869</v>
      </c>
    </row>
    <row r="125" spans="1:42" x14ac:dyDescent="0.25">
      <c r="A125" s="6" t="s">
        <v>30</v>
      </c>
      <c r="B125" s="6" t="s">
        <v>18</v>
      </c>
      <c r="C125" s="6" t="s">
        <v>62</v>
      </c>
      <c r="D125" s="7" t="s">
        <v>63</v>
      </c>
      <c r="E125" s="7" t="s">
        <v>21</v>
      </c>
      <c r="F125" s="7" t="s">
        <v>64</v>
      </c>
      <c r="G125" s="7" t="s">
        <v>23</v>
      </c>
      <c r="H125" s="7" t="s">
        <v>69</v>
      </c>
      <c r="I125" s="6" t="s">
        <v>66</v>
      </c>
      <c r="J125" s="6"/>
      <c r="K125" s="6" t="s">
        <v>77</v>
      </c>
      <c r="L125" s="6" t="s">
        <v>78</v>
      </c>
      <c r="M125" s="10">
        <v>336708.40505542298</v>
      </c>
      <c r="N125" s="10">
        <v>0</v>
      </c>
      <c r="O125" s="10">
        <v>168859.77070347039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505568.17575889337</v>
      </c>
      <c r="AL125" s="10">
        <v>0</v>
      </c>
      <c r="AM125" s="10">
        <v>0</v>
      </c>
      <c r="AN125" s="10">
        <v>0</v>
      </c>
      <c r="AO125" s="10">
        <v>0</v>
      </c>
      <c r="AP125" s="16">
        <f t="shared" si="2"/>
        <v>505568.17575889337</v>
      </c>
    </row>
    <row r="126" spans="1:42" x14ac:dyDescent="0.25">
      <c r="A126" s="6" t="s">
        <v>32</v>
      </c>
      <c r="B126" s="6" t="s">
        <v>18</v>
      </c>
      <c r="C126" s="6" t="s">
        <v>62</v>
      </c>
      <c r="D126" s="7" t="s">
        <v>63</v>
      </c>
      <c r="E126" s="7" t="s">
        <v>21</v>
      </c>
      <c r="F126" s="7" t="s">
        <v>64</v>
      </c>
      <c r="G126" s="7" t="s">
        <v>23</v>
      </c>
      <c r="H126" s="7" t="s">
        <v>70</v>
      </c>
      <c r="I126" s="6" t="s">
        <v>66</v>
      </c>
      <c r="J126" s="6"/>
      <c r="K126" s="6" t="s">
        <v>77</v>
      </c>
      <c r="L126" s="6" t="s">
        <v>78</v>
      </c>
      <c r="M126" s="10">
        <v>87675.408231676236</v>
      </c>
      <c r="N126" s="10">
        <v>0</v>
      </c>
      <c r="O126" s="10">
        <v>43969.348872942734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131644.75710461894</v>
      </c>
      <c r="AL126" s="10">
        <v>0</v>
      </c>
      <c r="AM126" s="10">
        <v>0</v>
      </c>
      <c r="AN126" s="10">
        <v>0</v>
      </c>
      <c r="AO126" s="10">
        <v>0</v>
      </c>
      <c r="AP126" s="16">
        <f t="shared" si="2"/>
        <v>131644.75710461894</v>
      </c>
    </row>
    <row r="127" spans="1:42" x14ac:dyDescent="0.25">
      <c r="A127" s="6" t="s">
        <v>34</v>
      </c>
      <c r="B127" s="6" t="s">
        <v>18</v>
      </c>
      <c r="C127" s="6" t="s">
        <v>62</v>
      </c>
      <c r="D127" s="7" t="s">
        <v>63</v>
      </c>
      <c r="E127" s="7" t="s">
        <v>21</v>
      </c>
      <c r="F127" s="7" t="s">
        <v>64</v>
      </c>
      <c r="G127" s="7" t="s">
        <v>23</v>
      </c>
      <c r="H127" s="7" t="s">
        <v>71</v>
      </c>
      <c r="I127" s="6" t="s">
        <v>66</v>
      </c>
      <c r="J127" s="6"/>
      <c r="K127" s="6" t="s">
        <v>77</v>
      </c>
      <c r="L127" s="6" t="s">
        <v>78</v>
      </c>
      <c r="M127" s="10">
        <v>540600.45165485225</v>
      </c>
      <c r="N127" s="10">
        <v>0</v>
      </c>
      <c r="O127" s="10">
        <v>271111.9382172983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811712.3898721505</v>
      </c>
      <c r="AL127" s="10">
        <v>0</v>
      </c>
      <c r="AM127" s="10">
        <v>0</v>
      </c>
      <c r="AN127" s="10">
        <v>0</v>
      </c>
      <c r="AO127" s="10">
        <v>0</v>
      </c>
      <c r="AP127" s="16">
        <f t="shared" si="2"/>
        <v>811712.3898721505</v>
      </c>
    </row>
    <row r="128" spans="1:42" x14ac:dyDescent="0.25">
      <c r="A128" s="6" t="s">
        <v>28</v>
      </c>
      <c r="B128" s="6" t="s">
        <v>18</v>
      </c>
      <c r="C128" s="6" t="s">
        <v>19</v>
      </c>
      <c r="D128" s="7" t="s">
        <v>20</v>
      </c>
      <c r="E128" s="7" t="s">
        <v>21</v>
      </c>
      <c r="F128" s="7" t="s">
        <v>22</v>
      </c>
      <c r="G128" s="7" t="s">
        <v>23</v>
      </c>
      <c r="H128" s="7" t="s">
        <v>29</v>
      </c>
      <c r="I128" s="6" t="s">
        <v>25</v>
      </c>
      <c r="J128" s="6"/>
      <c r="K128" s="6" t="s">
        <v>79</v>
      </c>
      <c r="L128" s="6" t="s">
        <v>80</v>
      </c>
      <c r="M128" s="10">
        <v>0</v>
      </c>
      <c r="N128" s="10">
        <v>0</v>
      </c>
      <c r="O128" s="10">
        <v>0</v>
      </c>
      <c r="P128" s="10">
        <v>0</v>
      </c>
      <c r="Q128" s="10">
        <v>159207.21025206867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>
        <v>159207.21025206867</v>
      </c>
      <c r="AL128" s="10">
        <v>0</v>
      </c>
      <c r="AM128" s="10">
        <v>0</v>
      </c>
      <c r="AN128" s="10">
        <v>0</v>
      </c>
      <c r="AO128" s="10">
        <v>0</v>
      </c>
      <c r="AP128" s="16">
        <f t="shared" si="2"/>
        <v>159207.21025206867</v>
      </c>
    </row>
    <row r="129" spans="1:42" x14ac:dyDescent="0.25">
      <c r="A129" s="6" t="s">
        <v>30</v>
      </c>
      <c r="B129" s="6" t="s">
        <v>18</v>
      </c>
      <c r="C129" s="6" t="s">
        <v>19</v>
      </c>
      <c r="D129" s="7" t="s">
        <v>20</v>
      </c>
      <c r="E129" s="7" t="s">
        <v>21</v>
      </c>
      <c r="F129" s="7" t="s">
        <v>22</v>
      </c>
      <c r="G129" s="7" t="s">
        <v>23</v>
      </c>
      <c r="H129" s="7" t="s">
        <v>31</v>
      </c>
      <c r="I129" s="6" t="s">
        <v>25</v>
      </c>
      <c r="J129" s="6"/>
      <c r="K129" s="6" t="s">
        <v>79</v>
      </c>
      <c r="L129" s="6" t="s">
        <v>80</v>
      </c>
      <c r="M129" s="10">
        <v>0</v>
      </c>
      <c r="N129" s="10">
        <v>0</v>
      </c>
      <c r="O129" s="10">
        <v>0</v>
      </c>
      <c r="P129" s="10">
        <v>0</v>
      </c>
      <c r="Q129" s="10">
        <v>74199.705039149499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74199.705039149499</v>
      </c>
      <c r="AL129" s="10">
        <v>0</v>
      </c>
      <c r="AM129" s="10">
        <v>0</v>
      </c>
      <c r="AN129" s="10">
        <v>0</v>
      </c>
      <c r="AO129" s="10">
        <v>0</v>
      </c>
      <c r="AP129" s="16">
        <f t="shared" si="2"/>
        <v>74199.705039149499</v>
      </c>
    </row>
    <row r="130" spans="1:42" x14ac:dyDescent="0.25">
      <c r="A130" s="6" t="s">
        <v>32</v>
      </c>
      <c r="B130" s="6" t="s">
        <v>18</v>
      </c>
      <c r="C130" s="6" t="s">
        <v>19</v>
      </c>
      <c r="D130" s="7" t="s">
        <v>20</v>
      </c>
      <c r="E130" s="7" t="s">
        <v>21</v>
      </c>
      <c r="F130" s="7" t="s">
        <v>22</v>
      </c>
      <c r="G130" s="7" t="s">
        <v>23</v>
      </c>
      <c r="H130" s="7" t="s">
        <v>33</v>
      </c>
      <c r="I130" s="6" t="s">
        <v>25</v>
      </c>
      <c r="J130" s="6"/>
      <c r="K130" s="6" t="s">
        <v>79</v>
      </c>
      <c r="L130" s="6" t="s">
        <v>80</v>
      </c>
      <c r="M130" s="10">
        <v>0</v>
      </c>
      <c r="N130" s="10">
        <v>0</v>
      </c>
      <c r="O130" s="10">
        <v>0</v>
      </c>
      <c r="P130" s="10">
        <v>0</v>
      </c>
      <c r="Q130" s="10">
        <v>9630.0270779101593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9630.0270779101593</v>
      </c>
      <c r="AL130" s="10">
        <v>0</v>
      </c>
      <c r="AM130" s="10">
        <v>0</v>
      </c>
      <c r="AN130" s="10">
        <v>0</v>
      </c>
      <c r="AO130" s="10">
        <v>0</v>
      </c>
      <c r="AP130" s="16">
        <f t="shared" si="2"/>
        <v>9630.0270779101593</v>
      </c>
    </row>
    <row r="131" spans="1:42" x14ac:dyDescent="0.25">
      <c r="A131" s="6" t="s">
        <v>34</v>
      </c>
      <c r="B131" s="6" t="s">
        <v>18</v>
      </c>
      <c r="C131" s="6" t="s">
        <v>19</v>
      </c>
      <c r="D131" s="7" t="s">
        <v>20</v>
      </c>
      <c r="E131" s="7" t="s">
        <v>21</v>
      </c>
      <c r="F131" s="7" t="s">
        <v>22</v>
      </c>
      <c r="G131" s="7" t="s">
        <v>23</v>
      </c>
      <c r="H131" s="7" t="s">
        <v>35</v>
      </c>
      <c r="I131" s="6" t="s">
        <v>25</v>
      </c>
      <c r="J131" s="6"/>
      <c r="K131" s="6" t="s">
        <v>79</v>
      </c>
      <c r="L131" s="6" t="s">
        <v>80</v>
      </c>
      <c r="M131" s="10">
        <v>0</v>
      </c>
      <c r="N131" s="10">
        <v>0</v>
      </c>
      <c r="O131" s="10">
        <v>0</v>
      </c>
      <c r="P131" s="10">
        <v>0</v>
      </c>
      <c r="Q131" s="10">
        <v>103366.90935425869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103366.90935425869</v>
      </c>
      <c r="AL131" s="10">
        <v>0</v>
      </c>
      <c r="AM131" s="10">
        <v>0</v>
      </c>
      <c r="AN131" s="10">
        <v>0</v>
      </c>
      <c r="AO131" s="10">
        <v>0</v>
      </c>
      <c r="AP131" s="16">
        <f t="shared" si="2"/>
        <v>103366.90935425869</v>
      </c>
    </row>
    <row r="132" spans="1:42" x14ac:dyDescent="0.25">
      <c r="A132" s="6" t="s">
        <v>28</v>
      </c>
      <c r="B132" s="6" t="s">
        <v>18</v>
      </c>
      <c r="C132" s="6" t="s">
        <v>62</v>
      </c>
      <c r="D132" s="7" t="s">
        <v>63</v>
      </c>
      <c r="E132" s="7" t="s">
        <v>21</v>
      </c>
      <c r="F132" s="7" t="s">
        <v>64</v>
      </c>
      <c r="G132" s="7" t="s">
        <v>23</v>
      </c>
      <c r="H132" s="7" t="s">
        <v>65</v>
      </c>
      <c r="I132" s="6" t="s">
        <v>66</v>
      </c>
      <c r="J132" s="6"/>
      <c r="K132" s="6" t="s">
        <v>81</v>
      </c>
      <c r="L132" s="6" t="s">
        <v>82</v>
      </c>
      <c r="M132" s="10">
        <v>78979.888911265807</v>
      </c>
      <c r="N132" s="10">
        <v>78979.888911265807</v>
      </c>
      <c r="O132" s="10">
        <v>78979.888911265807</v>
      </c>
      <c r="P132" s="10">
        <v>78979.888911265807</v>
      </c>
      <c r="Q132" s="10">
        <v>78979.888911265807</v>
      </c>
      <c r="R132" s="10">
        <v>78979.888911265807</v>
      </c>
      <c r="S132" s="10">
        <v>78979.888911265807</v>
      </c>
      <c r="T132" s="10">
        <v>78979.888911265807</v>
      </c>
      <c r="U132" s="10">
        <v>78979.888911265807</v>
      </c>
      <c r="V132" s="10">
        <v>78979.888911265807</v>
      </c>
      <c r="W132" s="10">
        <v>78979.888911265807</v>
      </c>
      <c r="X132" s="10">
        <v>78979.888911265807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0</v>
      </c>
      <c r="AK132" s="10">
        <v>947758.66693518951</v>
      </c>
      <c r="AL132" s="10">
        <v>0</v>
      </c>
      <c r="AM132" s="10">
        <v>0</v>
      </c>
      <c r="AN132" s="10">
        <v>0</v>
      </c>
      <c r="AO132" s="10">
        <v>0</v>
      </c>
      <c r="AP132" s="16">
        <f t="shared" si="2"/>
        <v>947758.66693518951</v>
      </c>
    </row>
    <row r="133" spans="1:42" x14ac:dyDescent="0.25">
      <c r="A133" s="6" t="s">
        <v>30</v>
      </c>
      <c r="B133" s="6" t="s">
        <v>18</v>
      </c>
      <c r="C133" s="6" t="s">
        <v>62</v>
      </c>
      <c r="D133" s="7" t="s">
        <v>63</v>
      </c>
      <c r="E133" s="7" t="s">
        <v>21</v>
      </c>
      <c r="F133" s="7" t="s">
        <v>64</v>
      </c>
      <c r="G133" s="7" t="s">
        <v>23</v>
      </c>
      <c r="H133" s="7" t="s">
        <v>69</v>
      </c>
      <c r="I133" s="6" t="s">
        <v>66</v>
      </c>
      <c r="J133" s="6"/>
      <c r="K133" s="6" t="s">
        <v>81</v>
      </c>
      <c r="L133" s="6" t="s">
        <v>82</v>
      </c>
      <c r="M133" s="10">
        <v>30924.850390765154</v>
      </c>
      <c r="N133" s="10">
        <v>30924.850390765154</v>
      </c>
      <c r="O133" s="10">
        <v>30924.850390765154</v>
      </c>
      <c r="P133" s="10">
        <v>30924.850390765154</v>
      </c>
      <c r="Q133" s="10">
        <v>30924.850390765154</v>
      </c>
      <c r="R133" s="10">
        <v>30924.850390765154</v>
      </c>
      <c r="S133" s="10">
        <v>30924.850390765154</v>
      </c>
      <c r="T133" s="10">
        <v>30924.850390765154</v>
      </c>
      <c r="U133" s="10">
        <v>30924.850390765154</v>
      </c>
      <c r="V133" s="10">
        <v>30924.850390765154</v>
      </c>
      <c r="W133" s="10">
        <v>30924.850390765154</v>
      </c>
      <c r="X133" s="10">
        <v>30924.850390765154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371098.20468918176</v>
      </c>
      <c r="AL133" s="10">
        <v>0</v>
      </c>
      <c r="AM133" s="10">
        <v>0</v>
      </c>
      <c r="AN133" s="10">
        <v>0</v>
      </c>
      <c r="AO133" s="10">
        <v>0</v>
      </c>
      <c r="AP133" s="16">
        <f t="shared" ref="AP133:AP196" si="3">SUM(AK133:AO133)</f>
        <v>371098.20468918176</v>
      </c>
    </row>
    <row r="134" spans="1:42" x14ac:dyDescent="0.25">
      <c r="A134" s="6" t="s">
        <v>32</v>
      </c>
      <c r="B134" s="6" t="s">
        <v>18</v>
      </c>
      <c r="C134" s="6" t="s">
        <v>62</v>
      </c>
      <c r="D134" s="7" t="s">
        <v>63</v>
      </c>
      <c r="E134" s="7" t="s">
        <v>21</v>
      </c>
      <c r="F134" s="7" t="s">
        <v>64</v>
      </c>
      <c r="G134" s="7" t="s">
        <v>23</v>
      </c>
      <c r="H134" s="7" t="s">
        <v>70</v>
      </c>
      <c r="I134" s="6" t="s">
        <v>66</v>
      </c>
      <c r="J134" s="6"/>
      <c r="K134" s="6" t="s">
        <v>81</v>
      </c>
      <c r="L134" s="6" t="s">
        <v>82</v>
      </c>
      <c r="M134" s="10">
        <v>8045.4895325567877</v>
      </c>
      <c r="N134" s="10">
        <v>8045.4895325567877</v>
      </c>
      <c r="O134" s="10">
        <v>8045.4895325567877</v>
      </c>
      <c r="P134" s="10">
        <v>8045.4895325567877</v>
      </c>
      <c r="Q134" s="10">
        <v>8045.4895325567877</v>
      </c>
      <c r="R134" s="10">
        <v>8045.4895325567877</v>
      </c>
      <c r="S134" s="10">
        <v>8045.4895325567877</v>
      </c>
      <c r="T134" s="10">
        <v>8045.4895325567877</v>
      </c>
      <c r="U134" s="10">
        <v>8045.4895325567877</v>
      </c>
      <c r="V134" s="10">
        <v>8045.4895325567877</v>
      </c>
      <c r="W134" s="10">
        <v>8045.4895325567877</v>
      </c>
      <c r="X134" s="10">
        <v>8045.4895325567877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  <c r="AJ134" s="10">
        <v>0</v>
      </c>
      <c r="AK134" s="10">
        <v>96545.874390681463</v>
      </c>
      <c r="AL134" s="10">
        <v>0</v>
      </c>
      <c r="AM134" s="10">
        <v>0</v>
      </c>
      <c r="AN134" s="10">
        <v>0</v>
      </c>
      <c r="AO134" s="10">
        <v>0</v>
      </c>
      <c r="AP134" s="16">
        <f t="shared" si="3"/>
        <v>96545.874390681463</v>
      </c>
    </row>
    <row r="135" spans="1:42" x14ac:dyDescent="0.25">
      <c r="A135" s="6" t="s">
        <v>34</v>
      </c>
      <c r="B135" s="6" t="s">
        <v>18</v>
      </c>
      <c r="C135" s="6" t="s">
        <v>62</v>
      </c>
      <c r="D135" s="7" t="s">
        <v>63</v>
      </c>
      <c r="E135" s="7" t="s">
        <v>21</v>
      </c>
      <c r="F135" s="7" t="s">
        <v>64</v>
      </c>
      <c r="G135" s="7" t="s">
        <v>23</v>
      </c>
      <c r="H135" s="7" t="s">
        <v>71</v>
      </c>
      <c r="I135" s="6" t="s">
        <v>66</v>
      </c>
      <c r="J135" s="6"/>
      <c r="K135" s="6" t="s">
        <v>81</v>
      </c>
      <c r="L135" s="6" t="s">
        <v>82</v>
      </c>
      <c r="M135" s="10">
        <v>49647.374990485849</v>
      </c>
      <c r="N135" s="10">
        <v>49647.374990485849</v>
      </c>
      <c r="O135" s="10">
        <v>49647.374990485849</v>
      </c>
      <c r="P135" s="10">
        <v>49647.374990485849</v>
      </c>
      <c r="Q135" s="10">
        <v>49647.374990485849</v>
      </c>
      <c r="R135" s="10">
        <v>49647.374990485849</v>
      </c>
      <c r="S135" s="10">
        <v>49647.374990485849</v>
      </c>
      <c r="T135" s="10">
        <v>49647.374990485849</v>
      </c>
      <c r="U135" s="10">
        <v>49647.374990485849</v>
      </c>
      <c r="V135" s="10">
        <v>49647.374990485849</v>
      </c>
      <c r="W135" s="10">
        <v>49647.374990485849</v>
      </c>
      <c r="X135" s="10">
        <v>49647.374990485849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595768.49988583033</v>
      </c>
      <c r="AL135" s="10">
        <v>0</v>
      </c>
      <c r="AM135" s="10">
        <v>0</v>
      </c>
      <c r="AN135" s="10">
        <v>0</v>
      </c>
      <c r="AO135" s="10">
        <v>0</v>
      </c>
      <c r="AP135" s="16">
        <f t="shared" si="3"/>
        <v>595768.49988583033</v>
      </c>
    </row>
    <row r="136" spans="1:42" x14ac:dyDescent="0.25">
      <c r="A136" s="6" t="s">
        <v>28</v>
      </c>
      <c r="B136" s="6" t="s">
        <v>18</v>
      </c>
      <c r="C136" s="6" t="s">
        <v>62</v>
      </c>
      <c r="D136" s="7" t="s">
        <v>63</v>
      </c>
      <c r="E136" s="7" t="s">
        <v>21</v>
      </c>
      <c r="F136" s="7" t="s">
        <v>64</v>
      </c>
      <c r="G136" s="7" t="s">
        <v>23</v>
      </c>
      <c r="H136" s="7" t="s">
        <v>65</v>
      </c>
      <c r="I136" s="6" t="s">
        <v>66</v>
      </c>
      <c r="J136" s="6"/>
      <c r="K136" s="6" t="s">
        <v>83</v>
      </c>
      <c r="L136" s="6" t="s">
        <v>84</v>
      </c>
      <c r="M136" s="10">
        <v>0</v>
      </c>
      <c r="N136" s="10">
        <v>77400.140122474782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77400.140122474782</v>
      </c>
      <c r="AL136" s="10">
        <v>0</v>
      </c>
      <c r="AM136" s="10">
        <v>0</v>
      </c>
      <c r="AN136" s="10">
        <v>0</v>
      </c>
      <c r="AO136" s="10">
        <v>0</v>
      </c>
      <c r="AP136" s="16">
        <f t="shared" si="3"/>
        <v>77400.140122474782</v>
      </c>
    </row>
    <row r="137" spans="1:42" x14ac:dyDescent="0.25">
      <c r="A137" s="6" t="s">
        <v>30</v>
      </c>
      <c r="B137" s="6" t="s">
        <v>18</v>
      </c>
      <c r="C137" s="6" t="s">
        <v>62</v>
      </c>
      <c r="D137" s="7" t="s">
        <v>63</v>
      </c>
      <c r="E137" s="7" t="s">
        <v>21</v>
      </c>
      <c r="F137" s="7" t="s">
        <v>64</v>
      </c>
      <c r="G137" s="7" t="s">
        <v>23</v>
      </c>
      <c r="H137" s="7" t="s">
        <v>69</v>
      </c>
      <c r="I137" s="6" t="s">
        <v>66</v>
      </c>
      <c r="J137" s="6"/>
      <c r="K137" s="6" t="s">
        <v>83</v>
      </c>
      <c r="L137" s="6" t="s">
        <v>84</v>
      </c>
      <c r="M137" s="10">
        <v>0</v>
      </c>
      <c r="N137" s="10">
        <v>30304.90343395076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30304.90343395076</v>
      </c>
      <c r="AL137" s="10">
        <v>0</v>
      </c>
      <c r="AM137" s="10">
        <v>0</v>
      </c>
      <c r="AN137" s="10">
        <v>0</v>
      </c>
      <c r="AO137" s="10">
        <v>0</v>
      </c>
      <c r="AP137" s="16">
        <f t="shared" si="3"/>
        <v>30304.90343395076</v>
      </c>
    </row>
    <row r="138" spans="1:42" x14ac:dyDescent="0.25">
      <c r="A138" s="6" t="s">
        <v>28</v>
      </c>
      <c r="B138" s="6" t="s">
        <v>18</v>
      </c>
      <c r="C138" s="6" t="s">
        <v>62</v>
      </c>
      <c r="D138" s="7" t="s">
        <v>63</v>
      </c>
      <c r="E138" s="7" t="s">
        <v>21</v>
      </c>
      <c r="F138" s="7" t="s">
        <v>64</v>
      </c>
      <c r="G138" s="7" t="s">
        <v>23</v>
      </c>
      <c r="H138" s="7" t="s">
        <v>65</v>
      </c>
      <c r="I138" s="6" t="s">
        <v>66</v>
      </c>
      <c r="J138" s="6"/>
      <c r="K138" s="6" t="s">
        <v>83</v>
      </c>
      <c r="L138" s="6" t="s">
        <v>84</v>
      </c>
      <c r="M138" s="10">
        <v>0</v>
      </c>
      <c r="N138" s="10">
        <v>66843.888528573734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66843.888528573734</v>
      </c>
      <c r="AL138" s="10">
        <v>0</v>
      </c>
      <c r="AM138" s="10">
        <v>0</v>
      </c>
      <c r="AN138" s="10">
        <v>0</v>
      </c>
      <c r="AO138" s="10">
        <v>0</v>
      </c>
      <c r="AP138" s="16">
        <f t="shared" si="3"/>
        <v>66843.888528573734</v>
      </c>
    </row>
    <row r="139" spans="1:42" x14ac:dyDescent="0.25">
      <c r="A139" s="6" t="s">
        <v>32</v>
      </c>
      <c r="B139" s="6" t="s">
        <v>18</v>
      </c>
      <c r="C139" s="6" t="s">
        <v>62</v>
      </c>
      <c r="D139" s="7" t="s">
        <v>63</v>
      </c>
      <c r="E139" s="7" t="s">
        <v>21</v>
      </c>
      <c r="F139" s="7" t="s">
        <v>64</v>
      </c>
      <c r="G139" s="7" t="s">
        <v>23</v>
      </c>
      <c r="H139" s="7" t="s">
        <v>70</v>
      </c>
      <c r="I139" s="6" t="s">
        <v>66</v>
      </c>
      <c r="J139" s="6"/>
      <c r="K139" s="6" t="s">
        <v>83</v>
      </c>
      <c r="L139" s="6" t="s">
        <v>84</v>
      </c>
      <c r="M139" s="10">
        <v>0</v>
      </c>
      <c r="N139" s="10">
        <v>7901.3332962697687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7901.3332962697687</v>
      </c>
      <c r="AL139" s="10">
        <v>0</v>
      </c>
      <c r="AM139" s="10">
        <v>0</v>
      </c>
      <c r="AN139" s="10">
        <v>0</v>
      </c>
      <c r="AO139" s="10">
        <v>0</v>
      </c>
      <c r="AP139" s="16">
        <f t="shared" si="3"/>
        <v>7901.3332962697687</v>
      </c>
    </row>
    <row r="140" spans="1:42" x14ac:dyDescent="0.25">
      <c r="A140" s="6" t="s">
        <v>30</v>
      </c>
      <c r="B140" s="6" t="s">
        <v>18</v>
      </c>
      <c r="C140" s="6" t="s">
        <v>62</v>
      </c>
      <c r="D140" s="7" t="s">
        <v>63</v>
      </c>
      <c r="E140" s="7" t="s">
        <v>21</v>
      </c>
      <c r="F140" s="7" t="s">
        <v>64</v>
      </c>
      <c r="G140" s="7" t="s">
        <v>23</v>
      </c>
      <c r="H140" s="7" t="s">
        <v>69</v>
      </c>
      <c r="I140" s="6" t="s">
        <v>66</v>
      </c>
      <c r="J140" s="6"/>
      <c r="K140" s="6" t="s">
        <v>83</v>
      </c>
      <c r="L140" s="6" t="s">
        <v>84</v>
      </c>
      <c r="M140" s="10">
        <v>0</v>
      </c>
      <c r="N140" s="10">
        <v>26171.751236727996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26171.751236727996</v>
      </c>
      <c r="AL140" s="10">
        <v>0</v>
      </c>
      <c r="AM140" s="10">
        <v>0</v>
      </c>
      <c r="AN140" s="10">
        <v>0</v>
      </c>
      <c r="AO140" s="10">
        <v>0</v>
      </c>
      <c r="AP140" s="16">
        <f t="shared" si="3"/>
        <v>26171.751236727996</v>
      </c>
    </row>
    <row r="141" spans="1:42" x14ac:dyDescent="0.25">
      <c r="A141" s="6" t="s">
        <v>32</v>
      </c>
      <c r="B141" s="6" t="s">
        <v>18</v>
      </c>
      <c r="C141" s="6" t="s">
        <v>62</v>
      </c>
      <c r="D141" s="7" t="s">
        <v>63</v>
      </c>
      <c r="E141" s="7" t="s">
        <v>21</v>
      </c>
      <c r="F141" s="7" t="s">
        <v>64</v>
      </c>
      <c r="G141" s="7" t="s">
        <v>23</v>
      </c>
      <c r="H141" s="7" t="s">
        <v>70</v>
      </c>
      <c r="I141" s="6" t="s">
        <v>66</v>
      </c>
      <c r="J141" s="6"/>
      <c r="K141" s="6" t="s">
        <v>83</v>
      </c>
      <c r="L141" s="6" t="s">
        <v>84</v>
      </c>
      <c r="M141" s="10">
        <v>0</v>
      </c>
      <c r="N141" s="10">
        <v>6823.7105025699375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6823.7105025699375</v>
      </c>
      <c r="AL141" s="10">
        <v>0</v>
      </c>
      <c r="AM141" s="10">
        <v>0</v>
      </c>
      <c r="AN141" s="10">
        <v>0</v>
      </c>
      <c r="AO141" s="10">
        <v>0</v>
      </c>
      <c r="AP141" s="16">
        <f t="shared" si="3"/>
        <v>6823.7105025699375</v>
      </c>
    </row>
    <row r="142" spans="1:42" x14ac:dyDescent="0.25">
      <c r="A142" s="6" t="s">
        <v>34</v>
      </c>
      <c r="B142" s="6" t="s">
        <v>18</v>
      </c>
      <c r="C142" s="6" t="s">
        <v>62</v>
      </c>
      <c r="D142" s="7" t="s">
        <v>63</v>
      </c>
      <c r="E142" s="7" t="s">
        <v>21</v>
      </c>
      <c r="F142" s="7" t="s">
        <v>64</v>
      </c>
      <c r="G142" s="7" t="s">
        <v>23</v>
      </c>
      <c r="H142" s="7" t="s">
        <v>71</v>
      </c>
      <c r="I142" s="6" t="s">
        <v>66</v>
      </c>
      <c r="J142" s="6"/>
      <c r="K142" s="6" t="s">
        <v>83</v>
      </c>
      <c r="L142" s="6" t="s">
        <v>84</v>
      </c>
      <c r="M142" s="10">
        <v>0</v>
      </c>
      <c r="N142" s="10">
        <v>49004.723589005298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49004.723589005298</v>
      </c>
      <c r="AL142" s="10">
        <v>0</v>
      </c>
      <c r="AM142" s="10">
        <v>0</v>
      </c>
      <c r="AN142" s="10">
        <v>0</v>
      </c>
      <c r="AO142" s="10">
        <v>0</v>
      </c>
      <c r="AP142" s="16">
        <f t="shared" si="3"/>
        <v>49004.723589005298</v>
      </c>
    </row>
    <row r="143" spans="1:42" x14ac:dyDescent="0.25">
      <c r="A143" s="6" t="s">
        <v>34</v>
      </c>
      <c r="B143" s="6" t="s">
        <v>18</v>
      </c>
      <c r="C143" s="6" t="s">
        <v>62</v>
      </c>
      <c r="D143" s="7" t="s">
        <v>63</v>
      </c>
      <c r="E143" s="7" t="s">
        <v>21</v>
      </c>
      <c r="F143" s="7" t="s">
        <v>64</v>
      </c>
      <c r="G143" s="7" t="s">
        <v>23</v>
      </c>
      <c r="H143" s="7" t="s">
        <v>71</v>
      </c>
      <c r="I143" s="6" t="s">
        <v>66</v>
      </c>
      <c r="J143" s="6"/>
      <c r="K143" s="6" t="s">
        <v>83</v>
      </c>
      <c r="L143" s="6" t="s">
        <v>84</v>
      </c>
      <c r="M143" s="10">
        <v>0</v>
      </c>
      <c r="N143" s="10">
        <v>42321.187879348457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42321.187879348457</v>
      </c>
      <c r="AL143" s="10">
        <v>0</v>
      </c>
      <c r="AM143" s="10">
        <v>0</v>
      </c>
      <c r="AN143" s="10">
        <v>0</v>
      </c>
      <c r="AO143" s="10">
        <v>0</v>
      </c>
      <c r="AP143" s="16">
        <f t="shared" si="3"/>
        <v>42321.187879348457</v>
      </c>
    </row>
    <row r="144" spans="1:42" x14ac:dyDescent="0.25">
      <c r="A144" s="6" t="s">
        <v>34</v>
      </c>
      <c r="B144" s="6" t="s">
        <v>18</v>
      </c>
      <c r="C144" s="6" t="s">
        <v>19</v>
      </c>
      <c r="D144" s="7" t="s">
        <v>20</v>
      </c>
      <c r="E144" s="7" t="s">
        <v>21</v>
      </c>
      <c r="F144" s="7" t="s">
        <v>22</v>
      </c>
      <c r="G144" s="7" t="s">
        <v>23</v>
      </c>
      <c r="H144" s="7" t="s">
        <v>35</v>
      </c>
      <c r="I144" s="6" t="s">
        <v>25</v>
      </c>
      <c r="J144" s="6"/>
      <c r="K144" s="6" t="s">
        <v>85</v>
      </c>
      <c r="L144" s="6" t="s">
        <v>86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138969.41637887972</v>
      </c>
      <c r="T144" s="10">
        <v>138969.41637887972</v>
      </c>
      <c r="U144" s="10">
        <v>138969.42627613264</v>
      </c>
      <c r="V144" s="10">
        <v>138969.42627613264</v>
      </c>
      <c r="W144" s="10">
        <v>138969.42627613264</v>
      </c>
      <c r="X144" s="10">
        <v>138969.42627613264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0</v>
      </c>
      <c r="AJ144" s="10">
        <v>0</v>
      </c>
      <c r="AK144" s="10">
        <v>833816.53786229005</v>
      </c>
      <c r="AL144" s="10">
        <v>0</v>
      </c>
      <c r="AM144" s="10">
        <v>0</v>
      </c>
      <c r="AN144" s="10">
        <v>0</v>
      </c>
      <c r="AO144" s="10">
        <v>0</v>
      </c>
      <c r="AP144" s="16">
        <f t="shared" si="3"/>
        <v>833816.53786229005</v>
      </c>
    </row>
    <row r="145" spans="1:42" x14ac:dyDescent="0.25">
      <c r="A145" s="6" t="s">
        <v>28</v>
      </c>
      <c r="B145" s="6" t="s">
        <v>18</v>
      </c>
      <c r="C145" s="6" t="s">
        <v>19</v>
      </c>
      <c r="D145" s="7" t="s">
        <v>20</v>
      </c>
      <c r="E145" s="7" t="s">
        <v>21</v>
      </c>
      <c r="F145" s="7" t="s">
        <v>22</v>
      </c>
      <c r="G145" s="7" t="s">
        <v>23</v>
      </c>
      <c r="H145" s="7" t="s">
        <v>29</v>
      </c>
      <c r="I145" s="6" t="s">
        <v>87</v>
      </c>
      <c r="J145" s="6"/>
      <c r="K145" s="6" t="s">
        <v>88</v>
      </c>
      <c r="L145" s="6" t="s">
        <v>89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107071.91673338063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107071.91673338063</v>
      </c>
      <c r="AL145" s="10">
        <v>0</v>
      </c>
      <c r="AM145" s="10">
        <v>0</v>
      </c>
      <c r="AN145" s="10">
        <v>0</v>
      </c>
      <c r="AO145" s="10">
        <v>0</v>
      </c>
      <c r="AP145" s="16">
        <f t="shared" si="3"/>
        <v>107071.91673338063</v>
      </c>
    </row>
    <row r="146" spans="1:42" x14ac:dyDescent="0.25">
      <c r="A146" s="6" t="s">
        <v>30</v>
      </c>
      <c r="B146" s="6" t="s">
        <v>18</v>
      </c>
      <c r="C146" s="6" t="s">
        <v>19</v>
      </c>
      <c r="D146" s="7" t="s">
        <v>20</v>
      </c>
      <c r="E146" s="7" t="s">
        <v>21</v>
      </c>
      <c r="F146" s="7" t="s">
        <v>22</v>
      </c>
      <c r="G146" s="7" t="s">
        <v>23</v>
      </c>
      <c r="H146" s="7" t="s">
        <v>31</v>
      </c>
      <c r="I146" s="6" t="s">
        <v>87</v>
      </c>
      <c r="J146" s="6"/>
      <c r="K146" s="6" t="s">
        <v>88</v>
      </c>
      <c r="L146" s="6" t="s">
        <v>89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48842.032001381274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48842.032001381274</v>
      </c>
      <c r="AL146" s="10">
        <v>0</v>
      </c>
      <c r="AM146" s="10">
        <v>0</v>
      </c>
      <c r="AN146" s="10">
        <v>0</v>
      </c>
      <c r="AO146" s="10">
        <v>0</v>
      </c>
      <c r="AP146" s="16">
        <f t="shared" si="3"/>
        <v>48842.032001381274</v>
      </c>
    </row>
    <row r="147" spans="1:42" x14ac:dyDescent="0.25">
      <c r="A147" s="6" t="s">
        <v>32</v>
      </c>
      <c r="B147" s="6" t="s">
        <v>18</v>
      </c>
      <c r="C147" s="6" t="s">
        <v>19</v>
      </c>
      <c r="D147" s="7" t="s">
        <v>20</v>
      </c>
      <c r="E147" s="7" t="s">
        <v>21</v>
      </c>
      <c r="F147" s="7" t="s">
        <v>22</v>
      </c>
      <c r="G147" s="7" t="s">
        <v>23</v>
      </c>
      <c r="H147" s="7" t="s">
        <v>33</v>
      </c>
      <c r="I147" s="6" t="s">
        <v>87</v>
      </c>
      <c r="J147" s="6"/>
      <c r="K147" s="6" t="s">
        <v>88</v>
      </c>
      <c r="L147" s="6" t="s">
        <v>89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49308.615770319899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49308.615770319899</v>
      </c>
      <c r="AL147" s="10">
        <v>0</v>
      </c>
      <c r="AM147" s="10">
        <v>0</v>
      </c>
      <c r="AN147" s="10">
        <v>0</v>
      </c>
      <c r="AO147" s="10">
        <v>0</v>
      </c>
      <c r="AP147" s="16">
        <f t="shared" si="3"/>
        <v>49308.615770319899</v>
      </c>
    </row>
    <row r="148" spans="1:42" x14ac:dyDescent="0.25">
      <c r="A148" s="6" t="s">
        <v>34</v>
      </c>
      <c r="B148" s="6" t="s">
        <v>18</v>
      </c>
      <c r="C148" s="6" t="s">
        <v>19</v>
      </c>
      <c r="D148" s="7" t="s">
        <v>20</v>
      </c>
      <c r="E148" s="7" t="s">
        <v>21</v>
      </c>
      <c r="F148" s="7" t="s">
        <v>22</v>
      </c>
      <c r="G148" s="7" t="s">
        <v>23</v>
      </c>
      <c r="H148" s="7" t="s">
        <v>35</v>
      </c>
      <c r="I148" s="6" t="s">
        <v>87</v>
      </c>
      <c r="J148" s="6"/>
      <c r="K148" s="6" t="s">
        <v>88</v>
      </c>
      <c r="L148" s="6" t="s">
        <v>89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107071.91673338063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107071.91673338063</v>
      </c>
      <c r="AL148" s="10">
        <v>0</v>
      </c>
      <c r="AM148" s="10">
        <v>0</v>
      </c>
      <c r="AN148" s="10">
        <v>0</v>
      </c>
      <c r="AO148" s="10">
        <v>0</v>
      </c>
      <c r="AP148" s="16">
        <f t="shared" si="3"/>
        <v>107071.91673338063</v>
      </c>
    </row>
    <row r="149" spans="1:42" x14ac:dyDescent="0.25">
      <c r="A149" s="6" t="s">
        <v>28</v>
      </c>
      <c r="B149" s="6" t="s">
        <v>18</v>
      </c>
      <c r="C149" s="6" t="s">
        <v>19</v>
      </c>
      <c r="D149" s="7" t="s">
        <v>20</v>
      </c>
      <c r="E149" s="7" t="s">
        <v>21</v>
      </c>
      <c r="F149" s="7" t="s">
        <v>22</v>
      </c>
      <c r="G149" s="7" t="s">
        <v>23</v>
      </c>
      <c r="H149" s="7" t="s">
        <v>29</v>
      </c>
      <c r="I149" s="6" t="s">
        <v>87</v>
      </c>
      <c r="J149" s="6"/>
      <c r="K149" s="6" t="s">
        <v>90</v>
      </c>
      <c r="L149" s="6" t="s">
        <v>91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982595.14337064209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  <c r="AI149" s="10">
        <v>0</v>
      </c>
      <c r="AJ149" s="10">
        <v>0</v>
      </c>
      <c r="AK149" s="10">
        <v>982595.14337064209</v>
      </c>
      <c r="AL149" s="10">
        <v>0</v>
      </c>
      <c r="AM149" s="10">
        <v>0</v>
      </c>
      <c r="AN149" s="10">
        <v>1129984.4148762384</v>
      </c>
      <c r="AO149" s="10">
        <v>0</v>
      </c>
      <c r="AP149" s="16">
        <f t="shared" si="3"/>
        <v>2112579.5582468808</v>
      </c>
    </row>
    <row r="150" spans="1:42" x14ac:dyDescent="0.25">
      <c r="A150" s="6" t="s">
        <v>30</v>
      </c>
      <c r="B150" s="6" t="s">
        <v>18</v>
      </c>
      <c r="C150" s="6" t="s">
        <v>19</v>
      </c>
      <c r="D150" s="7" t="s">
        <v>20</v>
      </c>
      <c r="E150" s="7" t="s">
        <v>21</v>
      </c>
      <c r="F150" s="7" t="s">
        <v>22</v>
      </c>
      <c r="G150" s="7" t="s">
        <v>23</v>
      </c>
      <c r="H150" s="7" t="s">
        <v>31</v>
      </c>
      <c r="I150" s="6" t="s">
        <v>87</v>
      </c>
      <c r="J150" s="6"/>
      <c r="K150" s="6" t="s">
        <v>90</v>
      </c>
      <c r="L150" s="6" t="s">
        <v>91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491297.57168532105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  <c r="AJ150" s="10">
        <v>0</v>
      </c>
      <c r="AK150" s="10">
        <v>491297.57168532105</v>
      </c>
      <c r="AL150" s="10">
        <v>0</v>
      </c>
      <c r="AM150" s="10">
        <v>0</v>
      </c>
      <c r="AN150" s="10">
        <v>564992.20743811922</v>
      </c>
      <c r="AO150" s="10">
        <v>0</v>
      </c>
      <c r="AP150" s="16">
        <f t="shared" si="3"/>
        <v>1056289.7791234404</v>
      </c>
    </row>
    <row r="151" spans="1:42" x14ac:dyDescent="0.25">
      <c r="A151" s="6" t="s">
        <v>32</v>
      </c>
      <c r="B151" s="6" t="s">
        <v>18</v>
      </c>
      <c r="C151" s="6" t="s">
        <v>19</v>
      </c>
      <c r="D151" s="7" t="s">
        <v>20</v>
      </c>
      <c r="E151" s="7" t="s">
        <v>21</v>
      </c>
      <c r="F151" s="7" t="s">
        <v>22</v>
      </c>
      <c r="G151" s="7" t="s">
        <v>23</v>
      </c>
      <c r="H151" s="7" t="s">
        <v>33</v>
      </c>
      <c r="I151" s="6" t="s">
        <v>87</v>
      </c>
      <c r="J151" s="6"/>
      <c r="K151" s="6" t="s">
        <v>90</v>
      </c>
      <c r="L151" s="6" t="s">
        <v>91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382120.33353302744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  <c r="AI151" s="10">
        <v>0</v>
      </c>
      <c r="AJ151" s="10">
        <v>0</v>
      </c>
      <c r="AK151" s="10">
        <v>382120.33353302744</v>
      </c>
      <c r="AL151" s="10">
        <v>0</v>
      </c>
      <c r="AM151" s="10">
        <v>0</v>
      </c>
      <c r="AN151" s="10">
        <v>439438.3835629815</v>
      </c>
      <c r="AO151" s="10">
        <v>0</v>
      </c>
      <c r="AP151" s="16">
        <f t="shared" si="3"/>
        <v>821558.71709600894</v>
      </c>
    </row>
    <row r="152" spans="1:42" x14ac:dyDescent="0.25">
      <c r="A152" s="6" t="s">
        <v>34</v>
      </c>
      <c r="B152" s="6" t="s">
        <v>18</v>
      </c>
      <c r="C152" s="6" t="s">
        <v>19</v>
      </c>
      <c r="D152" s="7" t="s">
        <v>20</v>
      </c>
      <c r="E152" s="7" t="s">
        <v>21</v>
      </c>
      <c r="F152" s="7" t="s">
        <v>22</v>
      </c>
      <c r="G152" s="7" t="s">
        <v>23</v>
      </c>
      <c r="H152" s="7" t="s">
        <v>35</v>
      </c>
      <c r="I152" s="6" t="s">
        <v>87</v>
      </c>
      <c r="J152" s="6"/>
      <c r="K152" s="6" t="s">
        <v>90</v>
      </c>
      <c r="L152" s="6" t="s">
        <v>91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627769.11937568802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0</v>
      </c>
      <c r="AJ152" s="10">
        <v>0</v>
      </c>
      <c r="AK152" s="10">
        <v>627769.11937568802</v>
      </c>
      <c r="AL152" s="10">
        <v>0</v>
      </c>
      <c r="AM152" s="10">
        <v>0</v>
      </c>
      <c r="AN152" s="10">
        <v>721934.48728204134</v>
      </c>
      <c r="AO152" s="10">
        <v>0</v>
      </c>
      <c r="AP152" s="16">
        <f t="shared" si="3"/>
        <v>1349703.6066577295</v>
      </c>
    </row>
    <row r="153" spans="1:42" x14ac:dyDescent="0.25">
      <c r="A153" s="6" t="s">
        <v>38</v>
      </c>
      <c r="B153" s="6" t="s">
        <v>18</v>
      </c>
      <c r="C153" s="6" t="s">
        <v>19</v>
      </c>
      <c r="D153" s="7" t="s">
        <v>20</v>
      </c>
      <c r="E153" s="7" t="s">
        <v>21</v>
      </c>
      <c r="F153" s="7" t="s">
        <v>22</v>
      </c>
      <c r="G153" s="7" t="s">
        <v>23</v>
      </c>
      <c r="H153" s="7" t="s">
        <v>39</v>
      </c>
      <c r="I153" s="6" t="s">
        <v>87</v>
      </c>
      <c r="J153" s="6"/>
      <c r="K153" s="6" t="s">
        <v>90</v>
      </c>
      <c r="L153" s="6" t="s">
        <v>91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818829.28614220174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818829.28614220174</v>
      </c>
      <c r="AL153" s="10">
        <v>0</v>
      </c>
      <c r="AM153" s="10">
        <v>0</v>
      </c>
      <c r="AN153" s="10">
        <v>941653.67906353192</v>
      </c>
      <c r="AO153" s="10">
        <v>0</v>
      </c>
      <c r="AP153" s="16">
        <f t="shared" si="3"/>
        <v>1760482.9652057337</v>
      </c>
    </row>
    <row r="154" spans="1:42" x14ac:dyDescent="0.25">
      <c r="A154" s="6" t="s">
        <v>40</v>
      </c>
      <c r="B154" s="6" t="s">
        <v>18</v>
      </c>
      <c r="C154" s="6" t="s">
        <v>19</v>
      </c>
      <c r="D154" s="7" t="s">
        <v>20</v>
      </c>
      <c r="E154" s="7" t="s">
        <v>21</v>
      </c>
      <c r="F154" s="7" t="s">
        <v>22</v>
      </c>
      <c r="G154" s="7" t="s">
        <v>23</v>
      </c>
      <c r="H154" s="7" t="s">
        <v>41</v>
      </c>
      <c r="I154" s="6" t="s">
        <v>87</v>
      </c>
      <c r="J154" s="6"/>
      <c r="K154" s="6" t="s">
        <v>90</v>
      </c>
      <c r="L154" s="6" t="s">
        <v>91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1364715.4769036693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>
        <v>0</v>
      </c>
      <c r="AK154" s="10">
        <v>1364715.4769036693</v>
      </c>
      <c r="AL154" s="10">
        <v>0</v>
      </c>
      <c r="AM154" s="10">
        <v>0</v>
      </c>
      <c r="AN154" s="10">
        <v>1569422.7984392198</v>
      </c>
      <c r="AO154" s="10">
        <v>0</v>
      </c>
      <c r="AP154" s="16">
        <f t="shared" si="3"/>
        <v>2934138.2753428891</v>
      </c>
    </row>
    <row r="155" spans="1:42" x14ac:dyDescent="0.25">
      <c r="A155" s="6" t="s">
        <v>92</v>
      </c>
      <c r="B155" s="6" t="s">
        <v>18</v>
      </c>
      <c r="C155" s="6" t="s">
        <v>19</v>
      </c>
      <c r="D155" s="7" t="s">
        <v>20</v>
      </c>
      <c r="E155" s="7" t="s">
        <v>21</v>
      </c>
      <c r="F155" s="7" t="s">
        <v>22</v>
      </c>
      <c r="G155" s="7" t="s">
        <v>23</v>
      </c>
      <c r="H155" s="7" t="s">
        <v>93</v>
      </c>
      <c r="I155" s="6" t="s">
        <v>87</v>
      </c>
      <c r="J155" s="6"/>
      <c r="K155" s="6" t="s">
        <v>90</v>
      </c>
      <c r="L155" s="6" t="s">
        <v>91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518591.88122339436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518591.88122339436</v>
      </c>
      <c r="AL155" s="10">
        <v>0</v>
      </c>
      <c r="AM155" s="10">
        <v>0</v>
      </c>
      <c r="AN155" s="10">
        <v>596380.66340690351</v>
      </c>
      <c r="AO155" s="10">
        <v>0</v>
      </c>
      <c r="AP155" s="16">
        <f t="shared" si="3"/>
        <v>1114972.5446302979</v>
      </c>
    </row>
    <row r="156" spans="1:42" x14ac:dyDescent="0.25">
      <c r="A156" s="6" t="s">
        <v>42</v>
      </c>
      <c r="B156" s="6" t="s">
        <v>18</v>
      </c>
      <c r="C156" s="6" t="s">
        <v>19</v>
      </c>
      <c r="D156" s="7" t="s">
        <v>20</v>
      </c>
      <c r="E156" s="7" t="s">
        <v>21</v>
      </c>
      <c r="F156" s="7" t="s">
        <v>22</v>
      </c>
      <c r="G156" s="7" t="s">
        <v>23</v>
      </c>
      <c r="H156" s="7" t="s">
        <v>43</v>
      </c>
      <c r="I156" s="6" t="s">
        <v>87</v>
      </c>
      <c r="J156" s="6"/>
      <c r="K156" s="6" t="s">
        <v>90</v>
      </c>
      <c r="L156" s="6" t="s">
        <v>91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955300.83383256861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955300.83383256861</v>
      </c>
      <c r="AL156" s="10">
        <v>0</v>
      </c>
      <c r="AM156" s="10">
        <v>0</v>
      </c>
      <c r="AN156" s="10">
        <v>1098595.9589074538</v>
      </c>
      <c r="AO156" s="10">
        <v>0</v>
      </c>
      <c r="AP156" s="16">
        <f t="shared" si="3"/>
        <v>2053896.7927400223</v>
      </c>
    </row>
    <row r="157" spans="1:42" x14ac:dyDescent="0.25">
      <c r="A157" s="6" t="s">
        <v>17</v>
      </c>
      <c r="B157" s="6" t="s">
        <v>18</v>
      </c>
      <c r="C157" s="6" t="s">
        <v>19</v>
      </c>
      <c r="D157" s="7" t="s">
        <v>20</v>
      </c>
      <c r="E157" s="7" t="s">
        <v>21</v>
      </c>
      <c r="F157" s="7" t="s">
        <v>22</v>
      </c>
      <c r="G157" s="7" t="s">
        <v>23</v>
      </c>
      <c r="H157" s="7" t="s">
        <v>24</v>
      </c>
      <c r="I157" s="6" t="s">
        <v>87</v>
      </c>
      <c r="J157" s="6"/>
      <c r="K157" s="6" t="s">
        <v>94</v>
      </c>
      <c r="L157" s="6" t="s">
        <v>95</v>
      </c>
      <c r="M157" s="10">
        <v>1236.2064770187981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1236.2064770187981</v>
      </c>
      <c r="AL157" s="10">
        <v>0</v>
      </c>
      <c r="AM157" s="10">
        <v>0</v>
      </c>
      <c r="AN157" s="10">
        <v>315538.97557912813</v>
      </c>
      <c r="AO157" s="10">
        <v>1421.6374485716178</v>
      </c>
      <c r="AP157" s="16">
        <f t="shared" si="3"/>
        <v>318196.81950471853</v>
      </c>
    </row>
    <row r="158" spans="1:42" x14ac:dyDescent="0.25">
      <c r="A158" s="6" t="s">
        <v>28</v>
      </c>
      <c r="B158" s="6" t="s">
        <v>18</v>
      </c>
      <c r="C158" s="6" t="s">
        <v>19</v>
      </c>
      <c r="D158" s="7" t="s">
        <v>20</v>
      </c>
      <c r="E158" s="7" t="s">
        <v>21</v>
      </c>
      <c r="F158" s="7" t="s">
        <v>22</v>
      </c>
      <c r="G158" s="7" t="s">
        <v>23</v>
      </c>
      <c r="H158" s="7" t="s">
        <v>29</v>
      </c>
      <c r="I158" s="6" t="s">
        <v>87</v>
      </c>
      <c r="J158" s="6"/>
      <c r="K158" s="6" t="s">
        <v>94</v>
      </c>
      <c r="L158" s="6" t="s">
        <v>95</v>
      </c>
      <c r="M158" s="10">
        <v>927271.14263190015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927271.14263190015</v>
      </c>
      <c r="AL158" s="10">
        <v>0</v>
      </c>
      <c r="AM158" s="10">
        <v>0</v>
      </c>
      <c r="AN158" s="10">
        <v>4064842.8638283517</v>
      </c>
      <c r="AO158" s="10">
        <v>1066361.814026685</v>
      </c>
      <c r="AP158" s="16">
        <f t="shared" si="3"/>
        <v>6058475.8204869367</v>
      </c>
    </row>
    <row r="159" spans="1:42" x14ac:dyDescent="0.25">
      <c r="A159" s="6" t="s">
        <v>30</v>
      </c>
      <c r="B159" s="6" t="s">
        <v>18</v>
      </c>
      <c r="C159" s="6" t="s">
        <v>19</v>
      </c>
      <c r="D159" s="7" t="s">
        <v>20</v>
      </c>
      <c r="E159" s="7" t="s">
        <v>21</v>
      </c>
      <c r="F159" s="7" t="s">
        <v>22</v>
      </c>
      <c r="G159" s="7" t="s">
        <v>23</v>
      </c>
      <c r="H159" s="7" t="s">
        <v>31</v>
      </c>
      <c r="I159" s="6" t="s">
        <v>87</v>
      </c>
      <c r="J159" s="6"/>
      <c r="K159" s="6" t="s">
        <v>94</v>
      </c>
      <c r="L159" s="6" t="s">
        <v>95</v>
      </c>
      <c r="M159" s="10">
        <v>363351.91409705469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363351.91409705469</v>
      </c>
      <c r="AL159" s="10">
        <v>0</v>
      </c>
      <c r="AM159" s="10">
        <v>0</v>
      </c>
      <c r="AN159" s="10">
        <v>1630893.5503652364</v>
      </c>
      <c r="AO159" s="10">
        <v>417854.7012116129</v>
      </c>
      <c r="AP159" s="16">
        <f t="shared" si="3"/>
        <v>2412100.1656739041</v>
      </c>
    </row>
    <row r="160" spans="1:42" x14ac:dyDescent="0.25">
      <c r="A160" s="6" t="s">
        <v>32</v>
      </c>
      <c r="B160" s="6" t="s">
        <v>18</v>
      </c>
      <c r="C160" s="6" t="s">
        <v>19</v>
      </c>
      <c r="D160" s="7" t="s">
        <v>20</v>
      </c>
      <c r="E160" s="7" t="s">
        <v>21</v>
      </c>
      <c r="F160" s="7" t="s">
        <v>22</v>
      </c>
      <c r="G160" s="7" t="s">
        <v>23</v>
      </c>
      <c r="H160" s="7" t="s">
        <v>33</v>
      </c>
      <c r="I160" s="6" t="s">
        <v>87</v>
      </c>
      <c r="J160" s="6"/>
      <c r="K160" s="6" t="s">
        <v>94</v>
      </c>
      <c r="L160" s="6" t="s">
        <v>95</v>
      </c>
      <c r="M160" s="10">
        <v>232907.83171321094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232907.83171321094</v>
      </c>
      <c r="AL160" s="10">
        <v>0</v>
      </c>
      <c r="AM160" s="10">
        <v>0</v>
      </c>
      <c r="AN160" s="10">
        <v>571968.69935831951</v>
      </c>
      <c r="AO160" s="10">
        <v>267844.00647019263</v>
      </c>
      <c r="AP160" s="16">
        <f t="shared" si="3"/>
        <v>1072720.5375417231</v>
      </c>
    </row>
    <row r="161" spans="1:42" x14ac:dyDescent="0.25">
      <c r="A161" s="6" t="s">
        <v>34</v>
      </c>
      <c r="B161" s="6" t="s">
        <v>18</v>
      </c>
      <c r="C161" s="6" t="s">
        <v>19</v>
      </c>
      <c r="D161" s="7" t="s">
        <v>20</v>
      </c>
      <c r="E161" s="7" t="s">
        <v>21</v>
      </c>
      <c r="F161" s="7" t="s">
        <v>22</v>
      </c>
      <c r="G161" s="7" t="s">
        <v>23</v>
      </c>
      <c r="H161" s="7" t="s">
        <v>35</v>
      </c>
      <c r="I161" s="6" t="s">
        <v>87</v>
      </c>
      <c r="J161" s="6"/>
      <c r="K161" s="6" t="s">
        <v>94</v>
      </c>
      <c r="L161" s="6" t="s">
        <v>95</v>
      </c>
      <c r="M161" s="10">
        <v>861320.26035785815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  <c r="AI161" s="10">
        <v>0</v>
      </c>
      <c r="AJ161" s="10">
        <v>0</v>
      </c>
      <c r="AK161" s="10">
        <v>861320.26035785815</v>
      </c>
      <c r="AL161" s="10">
        <v>0</v>
      </c>
      <c r="AM161" s="10">
        <v>0</v>
      </c>
      <c r="AN161" s="10">
        <v>3324545.9693998662</v>
      </c>
      <c r="AO161" s="10">
        <v>990518.29941153701</v>
      </c>
      <c r="AP161" s="16">
        <f t="shared" si="3"/>
        <v>5176384.5291692615</v>
      </c>
    </row>
    <row r="162" spans="1:42" x14ac:dyDescent="0.25">
      <c r="A162" s="6" t="s">
        <v>38</v>
      </c>
      <c r="B162" s="6" t="s">
        <v>18</v>
      </c>
      <c r="C162" s="6" t="s">
        <v>19</v>
      </c>
      <c r="D162" s="7" t="s">
        <v>20</v>
      </c>
      <c r="E162" s="7" t="s">
        <v>21</v>
      </c>
      <c r="F162" s="7" t="s">
        <v>22</v>
      </c>
      <c r="G162" s="7" t="s">
        <v>23</v>
      </c>
      <c r="H162" s="7" t="s">
        <v>39</v>
      </c>
      <c r="I162" s="6" t="s">
        <v>87</v>
      </c>
      <c r="J162" s="6"/>
      <c r="K162" s="6" t="s">
        <v>94</v>
      </c>
      <c r="L162" s="6" t="s">
        <v>95</v>
      </c>
      <c r="M162" s="10">
        <v>20397.406870810169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20397.406870810169</v>
      </c>
      <c r="AL162" s="10">
        <v>0</v>
      </c>
      <c r="AM162" s="10">
        <v>0</v>
      </c>
      <c r="AN162" s="10">
        <v>2249869.6883234517</v>
      </c>
      <c r="AO162" s="10">
        <v>23457.017901431693</v>
      </c>
      <c r="AP162" s="16">
        <f t="shared" si="3"/>
        <v>2293724.1130956938</v>
      </c>
    </row>
    <row r="163" spans="1:42" x14ac:dyDescent="0.25">
      <c r="A163" s="6" t="s">
        <v>96</v>
      </c>
      <c r="B163" s="6" t="s">
        <v>18</v>
      </c>
      <c r="C163" s="6" t="s">
        <v>19</v>
      </c>
      <c r="D163" s="7" t="s">
        <v>20</v>
      </c>
      <c r="E163" s="7" t="s">
        <v>21</v>
      </c>
      <c r="F163" s="7" t="s">
        <v>22</v>
      </c>
      <c r="G163" s="7" t="s">
        <v>23</v>
      </c>
      <c r="H163" s="7" t="s">
        <v>97</v>
      </c>
      <c r="I163" s="6" t="s">
        <v>87</v>
      </c>
      <c r="J163" s="6"/>
      <c r="K163" s="6" t="s">
        <v>94</v>
      </c>
      <c r="L163" s="6" t="s">
        <v>95</v>
      </c>
      <c r="M163" s="10">
        <v>618.10323850939903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  <c r="AI163" s="10">
        <v>0</v>
      </c>
      <c r="AJ163" s="10">
        <v>0</v>
      </c>
      <c r="AK163" s="10">
        <v>618.10323850939903</v>
      </c>
      <c r="AL163" s="10">
        <v>0</v>
      </c>
      <c r="AM163" s="10">
        <v>0</v>
      </c>
      <c r="AN163" s="10">
        <v>618.10323850939903</v>
      </c>
      <c r="AO163" s="10">
        <v>710.81872428580891</v>
      </c>
      <c r="AP163" s="16">
        <f t="shared" si="3"/>
        <v>1947.025201304607</v>
      </c>
    </row>
    <row r="164" spans="1:42" x14ac:dyDescent="0.25">
      <c r="A164" s="6" t="s">
        <v>40</v>
      </c>
      <c r="B164" s="6" t="s">
        <v>18</v>
      </c>
      <c r="C164" s="6" t="s">
        <v>19</v>
      </c>
      <c r="D164" s="7" t="s">
        <v>20</v>
      </c>
      <c r="E164" s="7" t="s">
        <v>21</v>
      </c>
      <c r="F164" s="7" t="s">
        <v>22</v>
      </c>
      <c r="G164" s="7" t="s">
        <v>23</v>
      </c>
      <c r="H164" s="7" t="s">
        <v>41</v>
      </c>
      <c r="I164" s="6" t="s">
        <v>87</v>
      </c>
      <c r="J164" s="6"/>
      <c r="K164" s="6" t="s">
        <v>94</v>
      </c>
      <c r="L164" s="6" t="s">
        <v>95</v>
      </c>
      <c r="M164" s="10">
        <v>267551.27104208956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  <c r="AI164" s="10">
        <v>0</v>
      </c>
      <c r="AJ164" s="10">
        <v>0</v>
      </c>
      <c r="AK164" s="10">
        <v>267551.27104208956</v>
      </c>
      <c r="AL164" s="10">
        <v>0</v>
      </c>
      <c r="AM164" s="10">
        <v>0</v>
      </c>
      <c r="AN164" s="10">
        <v>408050.11125474959</v>
      </c>
      <c r="AO164" s="10">
        <v>307683.961698403</v>
      </c>
      <c r="AP164" s="16">
        <f t="shared" si="3"/>
        <v>983285.34399524215</v>
      </c>
    </row>
    <row r="165" spans="1:42" x14ac:dyDescent="0.25">
      <c r="A165" s="6" t="s">
        <v>58</v>
      </c>
      <c r="B165" s="6" t="s">
        <v>18</v>
      </c>
      <c r="C165" s="6" t="s">
        <v>19</v>
      </c>
      <c r="D165" s="7" t="s">
        <v>20</v>
      </c>
      <c r="E165" s="7" t="s">
        <v>21</v>
      </c>
      <c r="F165" s="7" t="s">
        <v>22</v>
      </c>
      <c r="G165" s="7" t="s">
        <v>23</v>
      </c>
      <c r="H165" s="7" t="s">
        <v>59</v>
      </c>
      <c r="I165" s="6" t="s">
        <v>87</v>
      </c>
      <c r="J165" s="6"/>
      <c r="K165" s="6" t="s">
        <v>94</v>
      </c>
      <c r="L165" s="6" t="s">
        <v>95</v>
      </c>
      <c r="M165" s="10">
        <v>37086.194310563937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37086.194310563937</v>
      </c>
      <c r="AL165" s="10">
        <v>0</v>
      </c>
      <c r="AM165" s="10">
        <v>0</v>
      </c>
      <c r="AN165" s="10">
        <v>37086.194310563937</v>
      </c>
      <c r="AO165" s="10">
        <v>42649.123457148533</v>
      </c>
      <c r="AP165" s="16">
        <f t="shared" si="3"/>
        <v>116821.5120782764</v>
      </c>
    </row>
    <row r="166" spans="1:42" x14ac:dyDescent="0.25">
      <c r="A166" s="6" t="s">
        <v>92</v>
      </c>
      <c r="B166" s="6" t="s">
        <v>18</v>
      </c>
      <c r="C166" s="6" t="s">
        <v>19</v>
      </c>
      <c r="D166" s="7" t="s">
        <v>20</v>
      </c>
      <c r="E166" s="7" t="s">
        <v>21</v>
      </c>
      <c r="F166" s="7" t="s">
        <v>22</v>
      </c>
      <c r="G166" s="7" t="s">
        <v>23</v>
      </c>
      <c r="H166" s="7" t="s">
        <v>93</v>
      </c>
      <c r="I166" s="6" t="s">
        <v>87</v>
      </c>
      <c r="J166" s="6"/>
      <c r="K166" s="6" t="s">
        <v>94</v>
      </c>
      <c r="L166" s="6" t="s">
        <v>95</v>
      </c>
      <c r="M166" s="10">
        <v>1854.3097155281971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  <c r="AI166" s="10">
        <v>0</v>
      </c>
      <c r="AJ166" s="10">
        <v>0</v>
      </c>
      <c r="AK166" s="10">
        <v>1854.3097155281971</v>
      </c>
      <c r="AL166" s="10">
        <v>0</v>
      </c>
      <c r="AM166" s="10">
        <v>0</v>
      </c>
      <c r="AN166" s="10">
        <v>1854.3097155281971</v>
      </c>
      <c r="AO166" s="10">
        <v>2132.4561728574267</v>
      </c>
      <c r="AP166" s="16">
        <f t="shared" si="3"/>
        <v>5841.0756039138214</v>
      </c>
    </row>
    <row r="167" spans="1:42" x14ac:dyDescent="0.25">
      <c r="A167" s="6" t="s">
        <v>98</v>
      </c>
      <c r="B167" s="6" t="s">
        <v>18</v>
      </c>
      <c r="C167" s="6" t="s">
        <v>19</v>
      </c>
      <c r="D167" s="7" t="s">
        <v>20</v>
      </c>
      <c r="E167" s="7" t="s">
        <v>21</v>
      </c>
      <c r="F167" s="7" t="s">
        <v>22</v>
      </c>
      <c r="G167" s="7" t="s">
        <v>23</v>
      </c>
      <c r="H167" s="7" t="s">
        <v>99</v>
      </c>
      <c r="I167" s="6" t="s">
        <v>87</v>
      </c>
      <c r="J167" s="6"/>
      <c r="K167" s="6" t="s">
        <v>94</v>
      </c>
      <c r="L167" s="6" t="s">
        <v>95</v>
      </c>
      <c r="M167" s="10">
        <v>2472.4129540375961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2472.4129540375961</v>
      </c>
      <c r="AL167" s="10">
        <v>0</v>
      </c>
      <c r="AM167" s="10">
        <v>0</v>
      </c>
      <c r="AN167" s="10">
        <v>2472.4129540375961</v>
      </c>
      <c r="AO167" s="10">
        <v>2843.2748971432356</v>
      </c>
      <c r="AP167" s="16">
        <f t="shared" si="3"/>
        <v>7788.1008052184279</v>
      </c>
    </row>
    <row r="168" spans="1:42" x14ac:dyDescent="0.25">
      <c r="A168" s="6" t="s">
        <v>100</v>
      </c>
      <c r="B168" s="6" t="s">
        <v>18</v>
      </c>
      <c r="C168" s="6" t="s">
        <v>19</v>
      </c>
      <c r="D168" s="7" t="s">
        <v>20</v>
      </c>
      <c r="E168" s="7" t="s">
        <v>21</v>
      </c>
      <c r="F168" s="7" t="s">
        <v>22</v>
      </c>
      <c r="G168" s="7" t="s">
        <v>23</v>
      </c>
      <c r="H168" s="7" t="s">
        <v>101</v>
      </c>
      <c r="I168" s="6" t="s">
        <v>87</v>
      </c>
      <c r="J168" s="6"/>
      <c r="K168" s="6" t="s">
        <v>94</v>
      </c>
      <c r="L168" s="6" t="s">
        <v>95</v>
      </c>
      <c r="M168" s="10">
        <v>618.10323850939903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0</v>
      </c>
      <c r="AJ168" s="10">
        <v>0</v>
      </c>
      <c r="AK168" s="10">
        <v>618.10323850939903</v>
      </c>
      <c r="AL168" s="10">
        <v>0</v>
      </c>
      <c r="AM168" s="10">
        <v>0</v>
      </c>
      <c r="AN168" s="10">
        <v>618.10323850939903</v>
      </c>
      <c r="AO168" s="10">
        <v>710.81872428580891</v>
      </c>
      <c r="AP168" s="16">
        <f t="shared" si="3"/>
        <v>1947.025201304607</v>
      </c>
    </row>
    <row r="169" spans="1:42" x14ac:dyDescent="0.25">
      <c r="A169" s="6" t="s">
        <v>42</v>
      </c>
      <c r="B169" s="6" t="s">
        <v>18</v>
      </c>
      <c r="C169" s="6" t="s">
        <v>19</v>
      </c>
      <c r="D169" s="7" t="s">
        <v>20</v>
      </c>
      <c r="E169" s="7" t="s">
        <v>21</v>
      </c>
      <c r="F169" s="7" t="s">
        <v>22</v>
      </c>
      <c r="G169" s="7" t="s">
        <v>23</v>
      </c>
      <c r="H169" s="7" t="s">
        <v>43</v>
      </c>
      <c r="I169" s="6" t="s">
        <v>87</v>
      </c>
      <c r="J169" s="6"/>
      <c r="K169" s="6" t="s">
        <v>94</v>
      </c>
      <c r="L169" s="6" t="s">
        <v>95</v>
      </c>
      <c r="M169" s="10">
        <v>177349.920038649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177349.920038649</v>
      </c>
      <c r="AL169" s="10">
        <v>0</v>
      </c>
      <c r="AM169" s="10">
        <v>0</v>
      </c>
      <c r="AN169" s="10">
        <v>177349.920038649</v>
      </c>
      <c r="AO169" s="10">
        <v>203952.40804444635</v>
      </c>
      <c r="AP169" s="16">
        <f t="shared" si="3"/>
        <v>558652.24812174437</v>
      </c>
    </row>
    <row r="170" spans="1:42" x14ac:dyDescent="0.25">
      <c r="A170" s="6" t="s">
        <v>17</v>
      </c>
      <c r="B170" s="6" t="s">
        <v>18</v>
      </c>
      <c r="C170" s="6" t="s">
        <v>19</v>
      </c>
      <c r="D170" s="7" t="s">
        <v>20</v>
      </c>
      <c r="E170" s="7" t="s">
        <v>21</v>
      </c>
      <c r="F170" s="7" t="s">
        <v>22</v>
      </c>
      <c r="G170" s="7" t="s">
        <v>23</v>
      </c>
      <c r="H170" s="7" t="s">
        <v>24</v>
      </c>
      <c r="I170" s="6" t="s">
        <v>25</v>
      </c>
      <c r="J170" s="6"/>
      <c r="K170" s="6" t="s">
        <v>102</v>
      </c>
      <c r="L170" s="6" t="s">
        <v>103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0</v>
      </c>
      <c r="AN170" s="10">
        <v>0</v>
      </c>
      <c r="AO170" s="10">
        <v>0</v>
      </c>
      <c r="AP170" s="16">
        <f t="shared" si="3"/>
        <v>0</v>
      </c>
    </row>
    <row r="171" spans="1:42" x14ac:dyDescent="0.25">
      <c r="A171" s="6" t="s">
        <v>28</v>
      </c>
      <c r="B171" s="6" t="s">
        <v>18</v>
      </c>
      <c r="C171" s="6" t="s">
        <v>62</v>
      </c>
      <c r="D171" s="7" t="s">
        <v>63</v>
      </c>
      <c r="E171" s="7" t="s">
        <v>21</v>
      </c>
      <c r="F171" s="7" t="s">
        <v>64</v>
      </c>
      <c r="G171" s="7" t="s">
        <v>23</v>
      </c>
      <c r="H171" s="7" t="s">
        <v>65</v>
      </c>
      <c r="I171" s="6" t="s">
        <v>66</v>
      </c>
      <c r="J171" s="6"/>
      <c r="K171" s="6" t="s">
        <v>104</v>
      </c>
      <c r="L171" s="6" t="s">
        <v>105</v>
      </c>
      <c r="M171" s="10">
        <v>0</v>
      </c>
      <c r="N171" s="10">
        <v>608.82325269576086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608.82325269576086</v>
      </c>
      <c r="AL171" s="10">
        <v>0</v>
      </c>
      <c r="AM171" s="10">
        <v>0</v>
      </c>
      <c r="AN171" s="10">
        <v>0</v>
      </c>
      <c r="AO171" s="10">
        <v>0</v>
      </c>
      <c r="AP171" s="16">
        <f t="shared" si="3"/>
        <v>608.82325269576086</v>
      </c>
    </row>
    <row r="172" spans="1:42" x14ac:dyDescent="0.25">
      <c r="A172" s="6" t="s">
        <v>28</v>
      </c>
      <c r="B172" s="6" t="s">
        <v>18</v>
      </c>
      <c r="C172" s="6" t="s">
        <v>19</v>
      </c>
      <c r="D172" s="7" t="s">
        <v>20</v>
      </c>
      <c r="E172" s="7" t="s">
        <v>21</v>
      </c>
      <c r="F172" s="7" t="s">
        <v>22</v>
      </c>
      <c r="G172" s="7" t="s">
        <v>23</v>
      </c>
      <c r="H172" s="7" t="s">
        <v>29</v>
      </c>
      <c r="I172" s="6" t="s">
        <v>25</v>
      </c>
      <c r="J172" s="6"/>
      <c r="K172" s="6" t="s">
        <v>106</v>
      </c>
      <c r="L172" s="6" t="s">
        <v>107</v>
      </c>
      <c r="M172" s="10">
        <v>64371.129170684406</v>
      </c>
      <c r="N172" s="10">
        <v>0</v>
      </c>
      <c r="O172" s="10">
        <v>0</v>
      </c>
      <c r="P172" s="10">
        <v>64371.129170684406</v>
      </c>
      <c r="Q172" s="10">
        <v>0</v>
      </c>
      <c r="R172" s="10">
        <v>0</v>
      </c>
      <c r="S172" s="10">
        <v>0</v>
      </c>
      <c r="T172" s="10">
        <v>64371.129170684406</v>
      </c>
      <c r="U172" s="10">
        <v>0</v>
      </c>
      <c r="V172" s="10">
        <v>0</v>
      </c>
      <c r="W172" s="10">
        <v>0</v>
      </c>
      <c r="X172" s="10">
        <v>64371.129170684406</v>
      </c>
      <c r="Y172" s="10">
        <v>64371.129170684406</v>
      </c>
      <c r="Z172" s="10">
        <v>0</v>
      </c>
      <c r="AA172" s="10">
        <v>0</v>
      </c>
      <c r="AB172" s="10">
        <v>64371.129170684406</v>
      </c>
      <c r="AC172" s="10">
        <v>0</v>
      </c>
      <c r="AD172" s="10">
        <v>0</v>
      </c>
      <c r="AE172" s="10">
        <v>0</v>
      </c>
      <c r="AF172" s="10">
        <v>64371.129170684406</v>
      </c>
      <c r="AG172" s="10">
        <v>0</v>
      </c>
      <c r="AH172" s="10">
        <v>0</v>
      </c>
      <c r="AI172" s="10">
        <v>0</v>
      </c>
      <c r="AJ172" s="10">
        <v>64371.129170684406</v>
      </c>
      <c r="AK172" s="10">
        <v>257484.51668273762</v>
      </c>
      <c r="AL172" s="10">
        <v>257484.51668273762</v>
      </c>
      <c r="AM172" s="10">
        <v>257484.51668273762</v>
      </c>
      <c r="AN172" s="10">
        <v>257484.51668273762</v>
      </c>
      <c r="AO172" s="10">
        <v>257484.51668273762</v>
      </c>
      <c r="AP172" s="16">
        <f t="shared" si="3"/>
        <v>1287422.583413688</v>
      </c>
    </row>
    <row r="173" spans="1:42" x14ac:dyDescent="0.25">
      <c r="A173" s="6" t="s">
        <v>28</v>
      </c>
      <c r="B173" s="6" t="s">
        <v>18</v>
      </c>
      <c r="C173" s="6" t="s">
        <v>19</v>
      </c>
      <c r="D173" s="7" t="s">
        <v>20</v>
      </c>
      <c r="E173" s="7" t="s">
        <v>21</v>
      </c>
      <c r="F173" s="7" t="s">
        <v>22</v>
      </c>
      <c r="G173" s="7" t="s">
        <v>23</v>
      </c>
      <c r="H173" s="7" t="s">
        <v>29</v>
      </c>
      <c r="I173" s="6" t="s">
        <v>25</v>
      </c>
      <c r="J173" s="6"/>
      <c r="K173" s="6"/>
      <c r="L173" s="6" t="s">
        <v>108</v>
      </c>
      <c r="M173" s="10">
        <v>0</v>
      </c>
      <c r="N173" s="10">
        <v>0</v>
      </c>
      <c r="O173" s="10">
        <v>0</v>
      </c>
      <c r="P173" s="10">
        <v>0</v>
      </c>
      <c r="Q173" s="10">
        <v>69924.091783592274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69924.091783592274</v>
      </c>
      <c r="AL173" s="10">
        <v>0</v>
      </c>
      <c r="AM173" s="10">
        <v>0</v>
      </c>
      <c r="AN173" s="10">
        <v>0</v>
      </c>
      <c r="AO173" s="10">
        <v>0</v>
      </c>
      <c r="AP173" s="16">
        <f t="shared" si="3"/>
        <v>69924.091783592274</v>
      </c>
    </row>
    <row r="174" spans="1:42" x14ac:dyDescent="0.25">
      <c r="A174" s="6" t="s">
        <v>28</v>
      </c>
      <c r="B174" s="6" t="s">
        <v>18</v>
      </c>
      <c r="C174" s="6" t="s">
        <v>19</v>
      </c>
      <c r="D174" s="7" t="s">
        <v>20</v>
      </c>
      <c r="E174" s="7" t="s">
        <v>21</v>
      </c>
      <c r="F174" s="7" t="s">
        <v>22</v>
      </c>
      <c r="G174" s="7" t="s">
        <v>23</v>
      </c>
      <c r="H174" s="7" t="s">
        <v>29</v>
      </c>
      <c r="I174" s="6" t="s">
        <v>87</v>
      </c>
      <c r="J174" s="6"/>
      <c r="K174" s="6" t="s">
        <v>109</v>
      </c>
      <c r="L174" s="6" t="s">
        <v>110</v>
      </c>
      <c r="M174" s="10">
        <v>0</v>
      </c>
      <c r="N174" s="10">
        <v>12290.784754756214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  <c r="AI174" s="10">
        <v>0</v>
      </c>
      <c r="AJ174" s="10">
        <v>0</v>
      </c>
      <c r="AK174" s="10">
        <v>12290.784754756214</v>
      </c>
      <c r="AL174" s="10">
        <v>0</v>
      </c>
      <c r="AM174" s="10">
        <v>856456.6424471807</v>
      </c>
      <c r="AN174" s="10">
        <v>0</v>
      </c>
      <c r="AO174" s="10">
        <v>899279.47259008908</v>
      </c>
      <c r="AP174" s="16">
        <f t="shared" si="3"/>
        <v>1768026.899792026</v>
      </c>
    </row>
    <row r="175" spans="1:42" x14ac:dyDescent="0.25">
      <c r="A175" s="6" t="s">
        <v>28</v>
      </c>
      <c r="B175" s="6" t="s">
        <v>18</v>
      </c>
      <c r="C175" s="6" t="s">
        <v>19</v>
      </c>
      <c r="D175" s="7" t="s">
        <v>20</v>
      </c>
      <c r="E175" s="7" t="s">
        <v>21</v>
      </c>
      <c r="F175" s="7" t="s">
        <v>22</v>
      </c>
      <c r="G175" s="7" t="s">
        <v>23</v>
      </c>
      <c r="H175" s="7" t="s">
        <v>29</v>
      </c>
      <c r="I175" s="6" t="s">
        <v>25</v>
      </c>
      <c r="J175" s="6"/>
      <c r="K175" s="6"/>
      <c r="L175" s="6" t="s">
        <v>111</v>
      </c>
      <c r="M175" s="10">
        <v>0</v>
      </c>
      <c r="N175" s="10">
        <v>0</v>
      </c>
      <c r="O175" s="10">
        <v>60134.718933889351</v>
      </c>
      <c r="P175" s="10">
        <v>46616.061189061511</v>
      </c>
      <c r="Q175" s="10">
        <v>0</v>
      </c>
      <c r="R175" s="10">
        <v>84957.771517064612</v>
      </c>
      <c r="S175" s="10">
        <v>46616.061189061511</v>
      </c>
      <c r="T175" s="10">
        <v>0</v>
      </c>
      <c r="U175" s="10">
        <v>59855.022566754982</v>
      </c>
      <c r="V175" s="10">
        <v>46616.061189061511</v>
      </c>
      <c r="W175" s="10">
        <v>0</v>
      </c>
      <c r="X175" s="10">
        <v>74748.854116660121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0">
        <v>0</v>
      </c>
      <c r="AK175" s="10">
        <v>419544.55070155358</v>
      </c>
      <c r="AL175" s="10">
        <v>0</v>
      </c>
      <c r="AM175" s="10">
        <v>0</v>
      </c>
      <c r="AN175" s="10">
        <v>9323212.237812303</v>
      </c>
      <c r="AO175" s="10">
        <v>9323212.237812303</v>
      </c>
      <c r="AP175" s="16">
        <f t="shared" si="3"/>
        <v>19065969.026326157</v>
      </c>
    </row>
    <row r="176" spans="1:42" x14ac:dyDescent="0.25">
      <c r="A176" s="6" t="s">
        <v>28</v>
      </c>
      <c r="B176" s="6" t="s">
        <v>18</v>
      </c>
      <c r="C176" s="6" t="s">
        <v>112</v>
      </c>
      <c r="D176" s="7" t="s">
        <v>113</v>
      </c>
      <c r="E176" s="7" t="s">
        <v>21</v>
      </c>
      <c r="F176" s="7" t="s">
        <v>114</v>
      </c>
      <c r="G176" s="7" t="s">
        <v>23</v>
      </c>
      <c r="H176" s="7" t="s">
        <v>115</v>
      </c>
      <c r="I176" s="6" t="s">
        <v>116</v>
      </c>
      <c r="J176" s="6"/>
      <c r="K176" s="6" t="s">
        <v>117</v>
      </c>
      <c r="L176" s="6" t="s">
        <v>118</v>
      </c>
      <c r="M176" s="10">
        <v>238780.59906497985</v>
      </c>
      <c r="N176" s="10">
        <v>193729.25397140576</v>
      </c>
      <c r="O176" s="10">
        <v>0</v>
      </c>
      <c r="P176" s="10">
        <v>193729.25397140576</v>
      </c>
      <c r="Q176" s="10">
        <v>0</v>
      </c>
      <c r="R176" s="10">
        <v>703664.9898850756</v>
      </c>
      <c r="S176" s="10">
        <v>362709.2690718121</v>
      </c>
      <c r="T176" s="10">
        <v>193729.25397140576</v>
      </c>
      <c r="U176" s="10">
        <v>0</v>
      </c>
      <c r="V176" s="10">
        <v>0</v>
      </c>
      <c r="W176" s="10">
        <v>752133.97517425846</v>
      </c>
      <c r="X176" s="10">
        <v>703664.9898850756</v>
      </c>
      <c r="Y176" s="10">
        <v>177372.29255461539</v>
      </c>
      <c r="Z176" s="10">
        <v>177372.29255461539</v>
      </c>
      <c r="AA176" s="10">
        <v>177372.29255461539</v>
      </c>
      <c r="AB176" s="10">
        <v>177372.29255461539</v>
      </c>
      <c r="AC176" s="10">
        <v>177372.29255461539</v>
      </c>
      <c r="AD176" s="10">
        <v>177372.29255461539</v>
      </c>
      <c r="AE176" s="10">
        <v>177372.29255461539</v>
      </c>
      <c r="AF176" s="10">
        <v>177372.29255461539</v>
      </c>
      <c r="AG176" s="10">
        <v>177372.29255461539</v>
      </c>
      <c r="AH176" s="10">
        <v>177372.29255461539</v>
      </c>
      <c r="AI176" s="10">
        <v>177372.29255461539</v>
      </c>
      <c r="AJ176" s="10">
        <v>177372.29255461539</v>
      </c>
      <c r="AK176" s="10">
        <v>3342141.5849954188</v>
      </c>
      <c r="AL176" s="10">
        <v>2128467.5106553845</v>
      </c>
      <c r="AM176" s="10">
        <v>1650906.3224226774</v>
      </c>
      <c r="AN176" s="10">
        <v>730729.02795757854</v>
      </c>
      <c r="AO176" s="10">
        <v>0</v>
      </c>
      <c r="AP176" s="16">
        <f t="shared" si="3"/>
        <v>7852244.4460310591</v>
      </c>
    </row>
    <row r="177" spans="1:42" x14ac:dyDescent="0.25">
      <c r="A177" s="6" t="s">
        <v>28</v>
      </c>
      <c r="B177" s="6" t="s">
        <v>18</v>
      </c>
      <c r="C177" s="6" t="s">
        <v>112</v>
      </c>
      <c r="D177" s="7" t="s">
        <v>113</v>
      </c>
      <c r="E177" s="7" t="s">
        <v>21</v>
      </c>
      <c r="F177" s="7" t="s">
        <v>114</v>
      </c>
      <c r="G177" s="7" t="s">
        <v>23</v>
      </c>
      <c r="H177" s="7" t="s">
        <v>115</v>
      </c>
      <c r="I177" s="6" t="s">
        <v>116</v>
      </c>
      <c r="J177" s="6"/>
      <c r="K177" s="6" t="s">
        <v>117</v>
      </c>
      <c r="L177" s="6" t="s">
        <v>118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0">
        <v>0</v>
      </c>
      <c r="AM177" s="10">
        <v>270640.38072502916</v>
      </c>
      <c r="AN177" s="10">
        <v>0</v>
      </c>
      <c r="AO177" s="10">
        <v>0</v>
      </c>
      <c r="AP177" s="16">
        <f t="shared" si="3"/>
        <v>270640.38072502916</v>
      </c>
    </row>
    <row r="178" spans="1:42" x14ac:dyDescent="0.25">
      <c r="A178" s="6" t="s">
        <v>28</v>
      </c>
      <c r="B178" s="6" t="s">
        <v>18</v>
      </c>
      <c r="C178" s="6" t="s">
        <v>112</v>
      </c>
      <c r="D178" s="7" t="s">
        <v>113</v>
      </c>
      <c r="E178" s="7" t="s">
        <v>21</v>
      </c>
      <c r="F178" s="7" t="s">
        <v>114</v>
      </c>
      <c r="G178" s="7" t="s">
        <v>23</v>
      </c>
      <c r="H178" s="7" t="s">
        <v>115</v>
      </c>
      <c r="I178" s="6" t="s">
        <v>116</v>
      </c>
      <c r="J178" s="6"/>
      <c r="K178" s="6" t="s">
        <v>117</v>
      </c>
      <c r="L178" s="6" t="s">
        <v>118</v>
      </c>
      <c r="M178" s="10">
        <v>0</v>
      </c>
      <c r="N178" s="10">
        <v>333507.09776218463</v>
      </c>
      <c r="O178" s="10">
        <v>0</v>
      </c>
      <c r="P178" s="10">
        <v>266805.68018919829</v>
      </c>
      <c r="Q178" s="10">
        <v>92974.867556489873</v>
      </c>
      <c r="R178" s="10">
        <v>0</v>
      </c>
      <c r="S178" s="10">
        <v>133402.84399807572</v>
      </c>
      <c r="T178" s="10">
        <v>92974.867556489873</v>
      </c>
      <c r="U178" s="10">
        <v>23243.716889122468</v>
      </c>
      <c r="V178" s="10">
        <v>116218.58444561233</v>
      </c>
      <c r="W178" s="10">
        <v>92974.867556489873</v>
      </c>
      <c r="X178" s="10">
        <v>0</v>
      </c>
      <c r="Y178" s="10">
        <v>51984.870324051102</v>
      </c>
      <c r="Z178" s="10">
        <v>51984.870324051102</v>
      </c>
      <c r="AA178" s="10">
        <v>51984.870324051102</v>
      </c>
      <c r="AB178" s="10">
        <v>51984.870324051102</v>
      </c>
      <c r="AC178" s="10">
        <v>51984.870324051102</v>
      </c>
      <c r="AD178" s="10">
        <v>51984.870324051102</v>
      </c>
      <c r="AE178" s="10">
        <v>51984.870324051102</v>
      </c>
      <c r="AF178" s="10">
        <v>51984.870324051102</v>
      </c>
      <c r="AG178" s="10">
        <v>51984.870324051102</v>
      </c>
      <c r="AH178" s="10">
        <v>51984.870324051102</v>
      </c>
      <c r="AI178" s="10">
        <v>51984.870324051102</v>
      </c>
      <c r="AJ178" s="10">
        <v>51984.870324051102</v>
      </c>
      <c r="AK178" s="10">
        <v>1152102.5259536628</v>
      </c>
      <c r="AL178" s="10">
        <v>623818.44388861337</v>
      </c>
      <c r="AM178" s="10">
        <v>0</v>
      </c>
      <c r="AN178" s="10">
        <v>0</v>
      </c>
      <c r="AO178" s="10">
        <v>0</v>
      </c>
      <c r="AP178" s="16">
        <f t="shared" si="3"/>
        <v>1775920.9698422761</v>
      </c>
    </row>
    <row r="179" spans="1:42" x14ac:dyDescent="0.25">
      <c r="A179" s="6" t="s">
        <v>28</v>
      </c>
      <c r="B179" s="6" t="s">
        <v>18</v>
      </c>
      <c r="C179" s="6" t="s">
        <v>112</v>
      </c>
      <c r="D179" s="7" t="s">
        <v>113</v>
      </c>
      <c r="E179" s="7" t="s">
        <v>21</v>
      </c>
      <c r="F179" s="7" t="s">
        <v>114</v>
      </c>
      <c r="G179" s="7" t="s">
        <v>23</v>
      </c>
      <c r="H179" s="7" t="s">
        <v>115</v>
      </c>
      <c r="I179" s="6" t="s">
        <v>116</v>
      </c>
      <c r="J179" s="6"/>
      <c r="K179" s="6" t="s">
        <v>117</v>
      </c>
      <c r="L179" s="6" t="s">
        <v>118</v>
      </c>
      <c r="M179" s="10">
        <v>0</v>
      </c>
      <c r="N179" s="10">
        <v>196400.81111909551</v>
      </c>
      <c r="O179" s="10">
        <v>0</v>
      </c>
      <c r="P179" s="10">
        <v>147300.60833932165</v>
      </c>
      <c r="Q179" s="10">
        <v>167515.16409299296</v>
      </c>
      <c r="R179" s="10">
        <v>0</v>
      </c>
      <c r="S179" s="10">
        <v>196400.81111909551</v>
      </c>
      <c r="T179" s="10">
        <v>334976.20552264847</v>
      </c>
      <c r="U179" s="10">
        <v>0</v>
      </c>
      <c r="V179" s="10">
        <v>223353.55753679821</v>
      </c>
      <c r="W179" s="10">
        <v>167690.27383212966</v>
      </c>
      <c r="X179" s="10">
        <v>175882.97223645879</v>
      </c>
      <c r="Y179" s="10">
        <v>167493.03382906102</v>
      </c>
      <c r="Z179" s="10">
        <v>167493.03382906102</v>
      </c>
      <c r="AA179" s="10">
        <v>167493.03382906102</v>
      </c>
      <c r="AB179" s="10">
        <v>167493.03382906102</v>
      </c>
      <c r="AC179" s="10">
        <v>167493.03382906102</v>
      </c>
      <c r="AD179" s="10">
        <v>167493.03382906102</v>
      </c>
      <c r="AE179" s="10">
        <v>167493.03382906102</v>
      </c>
      <c r="AF179" s="10">
        <v>167493.03382906102</v>
      </c>
      <c r="AG179" s="10">
        <v>167493.03382906102</v>
      </c>
      <c r="AH179" s="10">
        <v>167493.03382906102</v>
      </c>
      <c r="AI179" s="10">
        <v>167493.03382906102</v>
      </c>
      <c r="AJ179" s="10">
        <v>167493.03382906102</v>
      </c>
      <c r="AK179" s="10">
        <v>1609520.4037985408</v>
      </c>
      <c r="AL179" s="10">
        <v>2009916.4059487327</v>
      </c>
      <c r="AM179" s="10">
        <v>574998.51493391604</v>
      </c>
      <c r="AN179" s="10">
        <v>0</v>
      </c>
      <c r="AO179" s="10">
        <v>0</v>
      </c>
      <c r="AP179" s="16">
        <f t="shared" si="3"/>
        <v>4194435.3246811898</v>
      </c>
    </row>
    <row r="180" spans="1:42" x14ac:dyDescent="0.25">
      <c r="A180" s="6" t="s">
        <v>28</v>
      </c>
      <c r="B180" s="6" t="s">
        <v>18</v>
      </c>
      <c r="C180" s="6" t="s">
        <v>19</v>
      </c>
      <c r="D180" s="7" t="s">
        <v>20</v>
      </c>
      <c r="E180" s="7" t="s">
        <v>21</v>
      </c>
      <c r="F180" s="7" t="s">
        <v>22</v>
      </c>
      <c r="G180" s="7" t="s">
        <v>23</v>
      </c>
      <c r="H180" s="7" t="s">
        <v>29</v>
      </c>
      <c r="I180" s="6" t="s">
        <v>119</v>
      </c>
      <c r="J180" s="6"/>
      <c r="K180" s="6" t="s">
        <v>120</v>
      </c>
      <c r="L180" s="6" t="s">
        <v>121</v>
      </c>
      <c r="M180" s="10">
        <v>1631288.9774369367</v>
      </c>
      <c r="N180" s="10">
        <v>0</v>
      </c>
      <c r="O180" s="10">
        <v>815644.48871846835</v>
      </c>
      <c r="P180" s="10">
        <v>0</v>
      </c>
      <c r="Q180" s="10">
        <v>0</v>
      </c>
      <c r="R180" s="10">
        <v>815644.48871846835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2936320.1593864858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1631288.9774369367</v>
      </c>
      <c r="AF180" s="10">
        <v>0</v>
      </c>
      <c r="AG180" s="10">
        <v>0</v>
      </c>
      <c r="AH180" s="10">
        <v>0</v>
      </c>
      <c r="AI180" s="10">
        <v>0</v>
      </c>
      <c r="AJ180" s="10">
        <v>1631288.9774369367</v>
      </c>
      <c r="AK180" s="10">
        <v>3262577.9548738734</v>
      </c>
      <c r="AL180" s="10">
        <v>6198898.1142603587</v>
      </c>
      <c r="AM180" s="10">
        <v>5709511.421029279</v>
      </c>
      <c r="AN180" s="10">
        <v>0</v>
      </c>
      <c r="AO180" s="10">
        <v>0</v>
      </c>
      <c r="AP180" s="16">
        <f t="shared" si="3"/>
        <v>15170987.490163511</v>
      </c>
    </row>
    <row r="181" spans="1:42" x14ac:dyDescent="0.25">
      <c r="A181" s="6" t="s">
        <v>28</v>
      </c>
      <c r="B181" s="6" t="s">
        <v>18</v>
      </c>
      <c r="C181" s="6" t="s">
        <v>19</v>
      </c>
      <c r="D181" s="7" t="s">
        <v>20</v>
      </c>
      <c r="E181" s="7" t="s">
        <v>21</v>
      </c>
      <c r="F181" s="7" t="s">
        <v>22</v>
      </c>
      <c r="G181" s="7" t="s">
        <v>23</v>
      </c>
      <c r="H181" s="7" t="s">
        <v>29</v>
      </c>
      <c r="I181" s="6" t="s">
        <v>119</v>
      </c>
      <c r="J181" s="6"/>
      <c r="K181" s="6" t="s">
        <v>120</v>
      </c>
      <c r="L181" s="6" t="s">
        <v>121</v>
      </c>
      <c r="M181" s="10">
        <v>0</v>
      </c>
      <c r="N181" s="10">
        <v>0</v>
      </c>
      <c r="O181" s="10">
        <v>248991.12971760804</v>
      </c>
      <c r="P181" s="10">
        <v>0</v>
      </c>
      <c r="Q181" s="10">
        <v>0</v>
      </c>
      <c r="R181" s="10">
        <v>248991.12971760804</v>
      </c>
      <c r="S181" s="10">
        <v>0</v>
      </c>
      <c r="T181" s="10">
        <v>0</v>
      </c>
      <c r="U181" s="10">
        <v>497982.25943521608</v>
      </c>
      <c r="V181" s="10">
        <v>0</v>
      </c>
      <c r="W181" s="10">
        <v>0</v>
      </c>
      <c r="X181" s="10">
        <v>0</v>
      </c>
      <c r="Y181" s="10">
        <v>995964.51887043216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497982.25943521608</v>
      </c>
      <c r="AF181" s="10">
        <v>0</v>
      </c>
      <c r="AG181" s="10">
        <v>0</v>
      </c>
      <c r="AH181" s="10">
        <v>0</v>
      </c>
      <c r="AI181" s="10">
        <v>0</v>
      </c>
      <c r="AJ181" s="10">
        <v>497982.25943521608</v>
      </c>
      <c r="AK181" s="10">
        <v>995964.51887043216</v>
      </c>
      <c r="AL181" s="10">
        <v>1991929.0377408643</v>
      </c>
      <c r="AM181" s="10">
        <v>1742937.9080232563</v>
      </c>
      <c r="AN181" s="10">
        <v>0</v>
      </c>
      <c r="AO181" s="10">
        <v>0</v>
      </c>
      <c r="AP181" s="16">
        <f t="shared" si="3"/>
        <v>4730831.4646345526</v>
      </c>
    </row>
    <row r="182" spans="1:42" x14ac:dyDescent="0.25">
      <c r="A182" s="6" t="s">
        <v>28</v>
      </c>
      <c r="B182" s="6" t="s">
        <v>18</v>
      </c>
      <c r="C182" s="6" t="s">
        <v>19</v>
      </c>
      <c r="D182" s="7" t="s">
        <v>20</v>
      </c>
      <c r="E182" s="7" t="s">
        <v>21</v>
      </c>
      <c r="F182" s="7" t="s">
        <v>22</v>
      </c>
      <c r="G182" s="7" t="s">
        <v>23</v>
      </c>
      <c r="H182" s="7" t="s">
        <v>29</v>
      </c>
      <c r="I182" s="6" t="s">
        <v>119</v>
      </c>
      <c r="J182" s="6"/>
      <c r="K182" s="6" t="s">
        <v>120</v>
      </c>
      <c r="L182" s="6" t="s">
        <v>121</v>
      </c>
      <c r="M182" s="10">
        <v>0</v>
      </c>
      <c r="N182" s="10">
        <v>0</v>
      </c>
      <c r="O182" s="10">
        <v>419468.30226516281</v>
      </c>
      <c r="P182" s="10">
        <v>0</v>
      </c>
      <c r="Q182" s="10">
        <v>0</v>
      </c>
      <c r="R182" s="10">
        <v>419468.30226516281</v>
      </c>
      <c r="S182" s="10">
        <v>0</v>
      </c>
      <c r="T182" s="10">
        <v>0</v>
      </c>
      <c r="U182" s="10">
        <v>838936.60453032563</v>
      </c>
      <c r="V182" s="10">
        <v>0</v>
      </c>
      <c r="W182" s="10">
        <v>0</v>
      </c>
      <c r="X182" s="10">
        <v>0</v>
      </c>
      <c r="Y182" s="10">
        <v>1677873.2090606513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838936.60453032563</v>
      </c>
      <c r="AF182" s="10">
        <v>0</v>
      </c>
      <c r="AG182" s="10">
        <v>0</v>
      </c>
      <c r="AH182" s="10">
        <v>0</v>
      </c>
      <c r="AI182" s="10">
        <v>0</v>
      </c>
      <c r="AJ182" s="10">
        <v>838936.60453032563</v>
      </c>
      <c r="AK182" s="10">
        <v>1677873.2090606513</v>
      </c>
      <c r="AL182" s="10">
        <v>3355746.4181213025</v>
      </c>
      <c r="AM182" s="10">
        <v>2936278.1158561395</v>
      </c>
      <c r="AN182" s="10">
        <v>0</v>
      </c>
      <c r="AO182" s="10">
        <v>0</v>
      </c>
      <c r="AP182" s="16">
        <f t="shared" si="3"/>
        <v>7969897.7430380937</v>
      </c>
    </row>
    <row r="183" spans="1:42" x14ac:dyDescent="0.25">
      <c r="A183" s="6" t="s">
        <v>28</v>
      </c>
      <c r="B183" s="6" t="s">
        <v>18</v>
      </c>
      <c r="C183" s="6" t="s">
        <v>19</v>
      </c>
      <c r="D183" s="7" t="s">
        <v>20</v>
      </c>
      <c r="E183" s="7" t="s">
        <v>21</v>
      </c>
      <c r="F183" s="7" t="s">
        <v>22</v>
      </c>
      <c r="G183" s="7" t="s">
        <v>23</v>
      </c>
      <c r="H183" s="7" t="s">
        <v>29</v>
      </c>
      <c r="I183" s="6" t="s">
        <v>119</v>
      </c>
      <c r="J183" s="6"/>
      <c r="K183" s="6" t="s">
        <v>120</v>
      </c>
      <c r="L183" s="6" t="s">
        <v>121</v>
      </c>
      <c r="M183" s="10">
        <v>0</v>
      </c>
      <c r="N183" s="10">
        <v>0</v>
      </c>
      <c r="O183" s="10">
        <v>0</v>
      </c>
      <c r="P183" s="10">
        <v>0</v>
      </c>
      <c r="Q183" s="10">
        <v>557310.35225723521</v>
      </c>
      <c r="R183" s="10">
        <v>278655.1761286176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1393275.8806430881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557310.35225723521</v>
      </c>
      <c r="AF183" s="10">
        <v>0</v>
      </c>
      <c r="AG183" s="10">
        <v>0</v>
      </c>
      <c r="AH183" s="10">
        <v>0</v>
      </c>
      <c r="AI183" s="10">
        <v>0</v>
      </c>
      <c r="AJ183" s="10">
        <v>557310.35225723521</v>
      </c>
      <c r="AK183" s="10">
        <v>835965.52838585293</v>
      </c>
      <c r="AL183" s="10">
        <v>2507896.5851575588</v>
      </c>
      <c r="AM183" s="10">
        <v>1950586.2329003233</v>
      </c>
      <c r="AN183" s="10">
        <v>0</v>
      </c>
      <c r="AO183" s="10">
        <v>0</v>
      </c>
      <c r="AP183" s="16">
        <f t="shared" si="3"/>
        <v>5294448.3464437351</v>
      </c>
    </row>
    <row r="184" spans="1:42" x14ac:dyDescent="0.25">
      <c r="A184" s="6" t="s">
        <v>28</v>
      </c>
      <c r="B184" s="6" t="s">
        <v>18</v>
      </c>
      <c r="C184" s="6" t="s">
        <v>19</v>
      </c>
      <c r="D184" s="7" t="s">
        <v>20</v>
      </c>
      <c r="E184" s="7" t="s">
        <v>21</v>
      </c>
      <c r="F184" s="7" t="s">
        <v>22</v>
      </c>
      <c r="G184" s="7" t="s">
        <v>23</v>
      </c>
      <c r="H184" s="7" t="s">
        <v>29</v>
      </c>
      <c r="I184" s="6" t="s">
        <v>25</v>
      </c>
      <c r="J184" s="6"/>
      <c r="K184" s="6" t="s">
        <v>102</v>
      </c>
      <c r="L184" s="6" t="s">
        <v>103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0">
        <v>0</v>
      </c>
      <c r="AM184" s="10">
        <v>0</v>
      </c>
      <c r="AN184" s="10">
        <v>0</v>
      </c>
      <c r="AO184" s="10">
        <v>0</v>
      </c>
      <c r="AP184" s="16">
        <f t="shared" si="3"/>
        <v>0</v>
      </c>
    </row>
    <row r="185" spans="1:42" x14ac:dyDescent="0.25">
      <c r="A185" s="6" t="s">
        <v>28</v>
      </c>
      <c r="B185" s="6" t="s">
        <v>18</v>
      </c>
      <c r="C185" s="6" t="s">
        <v>112</v>
      </c>
      <c r="D185" s="7" t="s">
        <v>113</v>
      </c>
      <c r="E185" s="7" t="s">
        <v>21</v>
      </c>
      <c r="F185" s="7" t="s">
        <v>114</v>
      </c>
      <c r="G185" s="7" t="s">
        <v>23</v>
      </c>
      <c r="H185" s="7" t="s">
        <v>115</v>
      </c>
      <c r="I185" s="6" t="s">
        <v>116</v>
      </c>
      <c r="J185" s="6"/>
      <c r="K185" s="6" t="s">
        <v>122</v>
      </c>
      <c r="L185" s="6" t="s">
        <v>123</v>
      </c>
      <c r="M185" s="10">
        <v>579640.4979710792</v>
      </c>
      <c r="N185" s="10">
        <v>1738921.4939132372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1159280.9959421584</v>
      </c>
      <c r="X185" s="10">
        <v>869460.74695661862</v>
      </c>
      <c r="Y185" s="10">
        <v>0</v>
      </c>
      <c r="Z185" s="10">
        <v>1159280.9959421584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  <c r="AI185" s="10">
        <v>0</v>
      </c>
      <c r="AJ185" s="10">
        <v>0</v>
      </c>
      <c r="AK185" s="10">
        <v>4347303.7347830944</v>
      </c>
      <c r="AL185" s="10">
        <v>1159280.9959421584</v>
      </c>
      <c r="AM185" s="10">
        <v>0</v>
      </c>
      <c r="AN185" s="10">
        <v>0</v>
      </c>
      <c r="AO185" s="10">
        <v>0</v>
      </c>
      <c r="AP185" s="16">
        <f t="shared" si="3"/>
        <v>5506584.730725253</v>
      </c>
    </row>
    <row r="186" spans="1:42" x14ac:dyDescent="0.25">
      <c r="A186" s="6" t="s">
        <v>30</v>
      </c>
      <c r="B186" s="6" t="s">
        <v>18</v>
      </c>
      <c r="C186" s="6" t="s">
        <v>62</v>
      </c>
      <c r="D186" s="7" t="s">
        <v>63</v>
      </c>
      <c r="E186" s="7" t="s">
        <v>21</v>
      </c>
      <c r="F186" s="7" t="s">
        <v>64</v>
      </c>
      <c r="G186" s="7" t="s">
        <v>23</v>
      </c>
      <c r="H186" s="7" t="s">
        <v>69</v>
      </c>
      <c r="I186" s="6" t="s">
        <v>66</v>
      </c>
      <c r="J186" s="6"/>
      <c r="K186" s="6" t="s">
        <v>104</v>
      </c>
      <c r="L186" s="6" t="s">
        <v>105</v>
      </c>
      <c r="M186" s="10">
        <v>0</v>
      </c>
      <c r="N186" s="10">
        <v>2346.5062864315782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  <c r="AI186" s="10">
        <v>0</v>
      </c>
      <c r="AJ186" s="10">
        <v>0</v>
      </c>
      <c r="AK186" s="10">
        <v>2346.5062864315782</v>
      </c>
      <c r="AL186" s="10">
        <v>0</v>
      </c>
      <c r="AM186" s="10">
        <v>0</v>
      </c>
      <c r="AN186" s="10">
        <v>0</v>
      </c>
      <c r="AO186" s="10">
        <v>0</v>
      </c>
      <c r="AP186" s="16">
        <f t="shared" si="3"/>
        <v>2346.5062864315782</v>
      </c>
    </row>
    <row r="187" spans="1:42" x14ac:dyDescent="0.25">
      <c r="A187" s="6" t="s">
        <v>30</v>
      </c>
      <c r="B187" s="6" t="s">
        <v>18</v>
      </c>
      <c r="C187" s="6" t="s">
        <v>19</v>
      </c>
      <c r="D187" s="7" t="s">
        <v>20</v>
      </c>
      <c r="E187" s="7" t="s">
        <v>21</v>
      </c>
      <c r="F187" s="7" t="s">
        <v>22</v>
      </c>
      <c r="G187" s="7" t="s">
        <v>23</v>
      </c>
      <c r="H187" s="7" t="s">
        <v>31</v>
      </c>
      <c r="I187" s="6" t="s">
        <v>25</v>
      </c>
      <c r="J187" s="6"/>
      <c r="K187" s="6" t="s">
        <v>106</v>
      </c>
      <c r="L187" s="6" t="s">
        <v>107</v>
      </c>
      <c r="M187" s="10">
        <v>25206.333599227823</v>
      </c>
      <c r="N187" s="10">
        <v>0</v>
      </c>
      <c r="O187" s="10">
        <v>0</v>
      </c>
      <c r="P187" s="10">
        <v>25206.333599227823</v>
      </c>
      <c r="Q187" s="10">
        <v>0</v>
      </c>
      <c r="R187" s="10">
        <v>0</v>
      </c>
      <c r="S187" s="10">
        <v>0</v>
      </c>
      <c r="T187" s="10">
        <v>25206.333599227823</v>
      </c>
      <c r="U187" s="10">
        <v>0</v>
      </c>
      <c r="V187" s="10">
        <v>0</v>
      </c>
      <c r="W187" s="10">
        <v>0</v>
      </c>
      <c r="X187" s="10">
        <v>25206.333599227823</v>
      </c>
      <c r="Y187" s="10">
        <v>25206.333599227823</v>
      </c>
      <c r="Z187" s="10">
        <v>0</v>
      </c>
      <c r="AA187" s="10">
        <v>0</v>
      </c>
      <c r="AB187" s="10">
        <v>25206.333599227823</v>
      </c>
      <c r="AC187" s="10">
        <v>0</v>
      </c>
      <c r="AD187" s="10">
        <v>0</v>
      </c>
      <c r="AE187" s="10">
        <v>0</v>
      </c>
      <c r="AF187" s="10">
        <v>25206.333599227823</v>
      </c>
      <c r="AG187" s="10">
        <v>0</v>
      </c>
      <c r="AH187" s="10">
        <v>0</v>
      </c>
      <c r="AI187" s="10">
        <v>0</v>
      </c>
      <c r="AJ187" s="10">
        <v>25206.333599227823</v>
      </c>
      <c r="AK187" s="10">
        <v>100825.33439691129</v>
      </c>
      <c r="AL187" s="10">
        <v>100825.33439691129</v>
      </c>
      <c r="AM187" s="10">
        <v>100825.33439691129</v>
      </c>
      <c r="AN187" s="10">
        <v>100825.33439691129</v>
      </c>
      <c r="AO187" s="10">
        <v>100825.33439691129</v>
      </c>
      <c r="AP187" s="16">
        <f t="shared" si="3"/>
        <v>504126.67198455648</v>
      </c>
    </row>
    <row r="188" spans="1:42" x14ac:dyDescent="0.25">
      <c r="A188" s="6" t="s">
        <v>30</v>
      </c>
      <c r="B188" s="6" t="s">
        <v>18</v>
      </c>
      <c r="C188" s="6" t="s">
        <v>19</v>
      </c>
      <c r="D188" s="7" t="s">
        <v>20</v>
      </c>
      <c r="E188" s="7" t="s">
        <v>21</v>
      </c>
      <c r="F188" s="7" t="s">
        <v>22</v>
      </c>
      <c r="G188" s="7" t="s">
        <v>23</v>
      </c>
      <c r="H188" s="7" t="s">
        <v>31</v>
      </c>
      <c r="I188" s="6" t="s">
        <v>25</v>
      </c>
      <c r="J188" s="6"/>
      <c r="K188" s="6"/>
      <c r="L188" s="6" t="s">
        <v>108</v>
      </c>
      <c r="M188" s="10">
        <v>0</v>
      </c>
      <c r="N188" s="10">
        <v>0</v>
      </c>
      <c r="O188" s="10">
        <v>0</v>
      </c>
      <c r="P188" s="10">
        <v>0</v>
      </c>
      <c r="Q188" s="10">
        <v>27464.876815211399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  <c r="AI188" s="10">
        <v>0</v>
      </c>
      <c r="AJ188" s="10">
        <v>0</v>
      </c>
      <c r="AK188" s="10">
        <v>27464.876815211399</v>
      </c>
      <c r="AL188" s="10">
        <v>0</v>
      </c>
      <c r="AM188" s="10">
        <v>0</v>
      </c>
      <c r="AN188" s="10">
        <v>0</v>
      </c>
      <c r="AO188" s="10">
        <v>0</v>
      </c>
      <c r="AP188" s="16">
        <f t="shared" si="3"/>
        <v>27464.876815211399</v>
      </c>
    </row>
    <row r="189" spans="1:42" x14ac:dyDescent="0.25">
      <c r="A189" s="6" t="s">
        <v>30</v>
      </c>
      <c r="B189" s="6" t="s">
        <v>18</v>
      </c>
      <c r="C189" s="6" t="s">
        <v>19</v>
      </c>
      <c r="D189" s="7" t="s">
        <v>20</v>
      </c>
      <c r="E189" s="7" t="s">
        <v>21</v>
      </c>
      <c r="F189" s="7" t="s">
        <v>22</v>
      </c>
      <c r="G189" s="7" t="s">
        <v>23</v>
      </c>
      <c r="H189" s="7" t="s">
        <v>31</v>
      </c>
      <c r="I189" s="6" t="s">
        <v>87</v>
      </c>
      <c r="J189" s="6"/>
      <c r="K189" s="6" t="s">
        <v>109</v>
      </c>
      <c r="L189" s="6" t="s">
        <v>110</v>
      </c>
      <c r="M189" s="10">
        <v>0</v>
      </c>
      <c r="N189" s="10">
        <v>6051.5961115843193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  <c r="AI189" s="10">
        <v>0</v>
      </c>
      <c r="AJ189" s="10">
        <v>0</v>
      </c>
      <c r="AK189" s="10">
        <v>6051.5961115843193</v>
      </c>
      <c r="AL189" s="10">
        <v>0</v>
      </c>
      <c r="AM189" s="10">
        <v>538016.44949647516</v>
      </c>
      <c r="AN189" s="10">
        <v>0</v>
      </c>
      <c r="AO189" s="10">
        <v>564917.27197129885</v>
      </c>
      <c r="AP189" s="16">
        <f t="shared" si="3"/>
        <v>1108985.3175793584</v>
      </c>
    </row>
    <row r="190" spans="1:42" x14ac:dyDescent="0.25">
      <c r="A190" s="6" t="s">
        <v>30</v>
      </c>
      <c r="B190" s="6" t="s">
        <v>18</v>
      </c>
      <c r="C190" s="6" t="s">
        <v>19</v>
      </c>
      <c r="D190" s="7" t="s">
        <v>20</v>
      </c>
      <c r="E190" s="7" t="s">
        <v>21</v>
      </c>
      <c r="F190" s="7" t="s">
        <v>22</v>
      </c>
      <c r="G190" s="7" t="s">
        <v>23</v>
      </c>
      <c r="H190" s="7" t="s">
        <v>31</v>
      </c>
      <c r="I190" s="6" t="s">
        <v>25</v>
      </c>
      <c r="J190" s="6"/>
      <c r="K190" s="6"/>
      <c r="L190" s="6" t="s">
        <v>111</v>
      </c>
      <c r="M190" s="10">
        <v>0</v>
      </c>
      <c r="N190" s="10">
        <v>0</v>
      </c>
      <c r="O190" s="10">
        <v>23619.794061081804</v>
      </c>
      <c r="P190" s="10">
        <v>18309.917876807602</v>
      </c>
      <c r="Q190" s="10">
        <v>0</v>
      </c>
      <c r="R190" s="10">
        <v>33369.82533048185</v>
      </c>
      <c r="S190" s="10">
        <v>18309.917876807602</v>
      </c>
      <c r="T190" s="10">
        <v>0</v>
      </c>
      <c r="U190" s="10">
        <v>23509.93455382096</v>
      </c>
      <c r="V190" s="10">
        <v>18309.917876807602</v>
      </c>
      <c r="W190" s="10">
        <v>0</v>
      </c>
      <c r="X190" s="10">
        <v>29359.953315460982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  <c r="AI190" s="10">
        <v>0</v>
      </c>
      <c r="AJ190" s="10">
        <v>0</v>
      </c>
      <c r="AK190" s="10">
        <v>164789.26089126841</v>
      </c>
      <c r="AL190" s="10">
        <v>0</v>
      </c>
      <c r="AM190" s="10">
        <v>0</v>
      </c>
      <c r="AN190" s="10">
        <v>3661983.5753615201</v>
      </c>
      <c r="AO190" s="10">
        <v>3661983.5753615201</v>
      </c>
      <c r="AP190" s="16">
        <f t="shared" si="3"/>
        <v>7488756.4116143081</v>
      </c>
    </row>
    <row r="191" spans="1:42" x14ac:dyDescent="0.25">
      <c r="A191" s="6" t="s">
        <v>30</v>
      </c>
      <c r="B191" s="6" t="s">
        <v>18</v>
      </c>
      <c r="C191" s="6" t="s">
        <v>112</v>
      </c>
      <c r="D191" s="7" t="s">
        <v>113</v>
      </c>
      <c r="E191" s="7" t="s">
        <v>21</v>
      </c>
      <c r="F191" s="7" t="s">
        <v>114</v>
      </c>
      <c r="G191" s="7" t="s">
        <v>23</v>
      </c>
      <c r="H191" s="7" t="s">
        <v>124</v>
      </c>
      <c r="I191" s="6" t="s">
        <v>116</v>
      </c>
      <c r="J191" s="6"/>
      <c r="K191" s="6" t="s">
        <v>117</v>
      </c>
      <c r="L191" s="6" t="s">
        <v>118</v>
      </c>
      <c r="M191" s="10">
        <v>141897.40978145102</v>
      </c>
      <c r="N191" s="10">
        <v>115125.27138891605</v>
      </c>
      <c r="O191" s="10">
        <v>0</v>
      </c>
      <c r="P191" s="10">
        <v>115125.27138891605</v>
      </c>
      <c r="Q191" s="10">
        <v>0</v>
      </c>
      <c r="R191" s="10">
        <v>418158.93529466004</v>
      </c>
      <c r="S191" s="10">
        <v>215543.07650015413</v>
      </c>
      <c r="T191" s="10">
        <v>115125.27138891605</v>
      </c>
      <c r="U191" s="10">
        <v>0</v>
      </c>
      <c r="V191" s="10">
        <v>0</v>
      </c>
      <c r="W191" s="10">
        <v>582062.38215355435</v>
      </c>
      <c r="X191" s="10">
        <v>553259.26808111218</v>
      </c>
      <c r="Y191" s="10">
        <v>240505.33147114445</v>
      </c>
      <c r="Z191" s="10">
        <v>240505.33147114445</v>
      </c>
      <c r="AA191" s="10">
        <v>240505.33147114445</v>
      </c>
      <c r="AB191" s="10">
        <v>240505.33147114445</v>
      </c>
      <c r="AC191" s="10">
        <v>240505.33147114445</v>
      </c>
      <c r="AD191" s="10">
        <v>240505.33147114445</v>
      </c>
      <c r="AE191" s="10">
        <v>240505.33147114445</v>
      </c>
      <c r="AF191" s="10">
        <v>240505.33147114445</v>
      </c>
      <c r="AG191" s="10">
        <v>240505.33147114445</v>
      </c>
      <c r="AH191" s="10">
        <v>240505.33147114445</v>
      </c>
      <c r="AI191" s="10">
        <v>240505.33147114445</v>
      </c>
      <c r="AJ191" s="10">
        <v>240505.33147114445</v>
      </c>
      <c r="AK191" s="10">
        <v>2256296.8859776799</v>
      </c>
      <c r="AL191" s="10">
        <v>2886063.977653733</v>
      </c>
      <c r="AM191" s="10">
        <v>981065.194345164</v>
      </c>
      <c r="AN191" s="10">
        <v>434241.97126753163</v>
      </c>
      <c r="AO191" s="10">
        <v>0</v>
      </c>
      <c r="AP191" s="16">
        <f t="shared" si="3"/>
        <v>6557668.0292441081</v>
      </c>
    </row>
    <row r="192" spans="1:42" x14ac:dyDescent="0.25">
      <c r="A192" s="6" t="s">
        <v>30</v>
      </c>
      <c r="B192" s="6" t="s">
        <v>18</v>
      </c>
      <c r="C192" s="6" t="s">
        <v>112</v>
      </c>
      <c r="D192" s="7" t="s">
        <v>113</v>
      </c>
      <c r="E192" s="7" t="s">
        <v>21</v>
      </c>
      <c r="F192" s="7" t="s">
        <v>114</v>
      </c>
      <c r="G192" s="7" t="s">
        <v>23</v>
      </c>
      <c r="H192" s="7" t="s">
        <v>124</v>
      </c>
      <c r="I192" s="6" t="s">
        <v>116</v>
      </c>
      <c r="J192" s="6"/>
      <c r="K192" s="6" t="s">
        <v>117</v>
      </c>
      <c r="L192" s="6" t="s">
        <v>118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0">
        <v>0</v>
      </c>
      <c r="AM192" s="10">
        <v>160830.35972871541</v>
      </c>
      <c r="AN192" s="10">
        <v>0</v>
      </c>
      <c r="AO192" s="10">
        <v>0</v>
      </c>
      <c r="AP192" s="16">
        <f t="shared" si="3"/>
        <v>160830.35972871541</v>
      </c>
    </row>
    <row r="193" spans="1:42" x14ac:dyDescent="0.25">
      <c r="A193" s="6" t="s">
        <v>30</v>
      </c>
      <c r="B193" s="6" t="s">
        <v>18</v>
      </c>
      <c r="C193" s="6" t="s">
        <v>112</v>
      </c>
      <c r="D193" s="7" t="s">
        <v>113</v>
      </c>
      <c r="E193" s="7" t="s">
        <v>21</v>
      </c>
      <c r="F193" s="7" t="s">
        <v>114</v>
      </c>
      <c r="G193" s="7" t="s">
        <v>23</v>
      </c>
      <c r="H193" s="7" t="s">
        <v>124</v>
      </c>
      <c r="I193" s="6" t="s">
        <v>116</v>
      </c>
      <c r="J193" s="6"/>
      <c r="K193" s="6" t="s">
        <v>117</v>
      </c>
      <c r="L193" s="6" t="s">
        <v>118</v>
      </c>
      <c r="M193" s="10">
        <v>0</v>
      </c>
      <c r="N193" s="10">
        <v>198189.44109641414</v>
      </c>
      <c r="O193" s="10">
        <v>0</v>
      </c>
      <c r="P193" s="10">
        <v>158551.55683603248</v>
      </c>
      <c r="Q193" s="10">
        <v>55251.109811408314</v>
      </c>
      <c r="R193" s="10">
        <v>0</v>
      </c>
      <c r="S193" s="10">
        <v>79275.78039746682</v>
      </c>
      <c r="T193" s="10">
        <v>55251.109811408314</v>
      </c>
      <c r="U193" s="10">
        <v>13812.777452852079</v>
      </c>
      <c r="V193" s="10">
        <v>69063.887264260382</v>
      </c>
      <c r="W193" s="10">
        <v>55251.109811408314</v>
      </c>
      <c r="X193" s="10">
        <v>0</v>
      </c>
      <c r="Y193" s="10">
        <v>30892.453566130211</v>
      </c>
      <c r="Z193" s="10">
        <v>30892.453566130211</v>
      </c>
      <c r="AA193" s="10">
        <v>30892.453566130211</v>
      </c>
      <c r="AB193" s="10">
        <v>30892.453566130211</v>
      </c>
      <c r="AC193" s="10">
        <v>30892.453566130211</v>
      </c>
      <c r="AD193" s="10">
        <v>30892.453566130211</v>
      </c>
      <c r="AE193" s="10">
        <v>30892.453566130211</v>
      </c>
      <c r="AF193" s="10">
        <v>30892.453566130211</v>
      </c>
      <c r="AG193" s="10">
        <v>30892.453566130211</v>
      </c>
      <c r="AH193" s="10">
        <v>30892.453566130211</v>
      </c>
      <c r="AI193" s="10">
        <v>30892.453566130211</v>
      </c>
      <c r="AJ193" s="10">
        <v>30892.453566130211</v>
      </c>
      <c r="AK193" s="10">
        <v>684646.77248125093</v>
      </c>
      <c r="AL193" s="10">
        <v>370709.44279356254</v>
      </c>
      <c r="AM193" s="10">
        <v>0</v>
      </c>
      <c r="AN193" s="10">
        <v>0</v>
      </c>
      <c r="AO193" s="10">
        <v>0</v>
      </c>
      <c r="AP193" s="16">
        <f t="shared" si="3"/>
        <v>1055356.2152748136</v>
      </c>
    </row>
    <row r="194" spans="1:42" x14ac:dyDescent="0.25">
      <c r="A194" s="6" t="s">
        <v>30</v>
      </c>
      <c r="B194" s="6" t="s">
        <v>18</v>
      </c>
      <c r="C194" s="6" t="s">
        <v>112</v>
      </c>
      <c r="D194" s="7" t="s">
        <v>113</v>
      </c>
      <c r="E194" s="7" t="s">
        <v>21</v>
      </c>
      <c r="F194" s="7" t="s">
        <v>114</v>
      </c>
      <c r="G194" s="7" t="s">
        <v>23</v>
      </c>
      <c r="H194" s="7" t="s">
        <v>124</v>
      </c>
      <c r="I194" s="6" t="s">
        <v>116</v>
      </c>
      <c r="J194" s="6"/>
      <c r="K194" s="6" t="s">
        <v>117</v>
      </c>
      <c r="L194" s="6" t="s">
        <v>118</v>
      </c>
      <c r="M194" s="10">
        <v>0</v>
      </c>
      <c r="N194" s="10">
        <v>116712.86087713666</v>
      </c>
      <c r="O194" s="10">
        <v>0</v>
      </c>
      <c r="P194" s="10">
        <v>87534.645657852481</v>
      </c>
      <c r="Q194" s="10">
        <v>99547.3182121461</v>
      </c>
      <c r="R194" s="10">
        <v>0</v>
      </c>
      <c r="S194" s="10">
        <v>116712.86087713666</v>
      </c>
      <c r="T194" s="10">
        <v>199062.47356895366</v>
      </c>
      <c r="U194" s="10">
        <v>0</v>
      </c>
      <c r="V194" s="10">
        <v>132729.76083280199</v>
      </c>
      <c r="W194" s="10">
        <v>99651.37867149779</v>
      </c>
      <c r="X194" s="10">
        <v>104519.95973093637</v>
      </c>
      <c r="Y194" s="10">
        <v>99534.167113631076</v>
      </c>
      <c r="Z194" s="10">
        <v>99534.167113631076</v>
      </c>
      <c r="AA194" s="10">
        <v>99534.167113631076</v>
      </c>
      <c r="AB194" s="10">
        <v>99534.167113631076</v>
      </c>
      <c r="AC194" s="10">
        <v>99534.167113631076</v>
      </c>
      <c r="AD194" s="10">
        <v>99534.167113631076</v>
      </c>
      <c r="AE194" s="10">
        <v>99534.167113631076</v>
      </c>
      <c r="AF194" s="10">
        <v>99534.167113631076</v>
      </c>
      <c r="AG194" s="10">
        <v>99534.167113631076</v>
      </c>
      <c r="AH194" s="10">
        <v>99534.167113631076</v>
      </c>
      <c r="AI194" s="10">
        <v>99534.167113631076</v>
      </c>
      <c r="AJ194" s="10">
        <v>99534.167113631076</v>
      </c>
      <c r="AK194" s="10">
        <v>956471.25842846173</v>
      </c>
      <c r="AL194" s="10">
        <v>1194410.0053635729</v>
      </c>
      <c r="AM194" s="10">
        <v>341697.78269066126</v>
      </c>
      <c r="AN194" s="10">
        <v>0</v>
      </c>
      <c r="AO194" s="10">
        <v>0</v>
      </c>
      <c r="AP194" s="16">
        <f t="shared" si="3"/>
        <v>2492579.0464826962</v>
      </c>
    </row>
    <row r="195" spans="1:42" x14ac:dyDescent="0.25">
      <c r="A195" s="6" t="s">
        <v>30</v>
      </c>
      <c r="B195" s="6" t="s">
        <v>18</v>
      </c>
      <c r="C195" s="6" t="s">
        <v>19</v>
      </c>
      <c r="D195" s="7" t="s">
        <v>20</v>
      </c>
      <c r="E195" s="7" t="s">
        <v>21</v>
      </c>
      <c r="F195" s="7" t="s">
        <v>22</v>
      </c>
      <c r="G195" s="7" t="s">
        <v>23</v>
      </c>
      <c r="H195" s="7" t="s">
        <v>31</v>
      </c>
      <c r="I195" s="6" t="s">
        <v>119</v>
      </c>
      <c r="J195" s="6"/>
      <c r="K195" s="6" t="s">
        <v>120</v>
      </c>
      <c r="L195" s="6" t="s">
        <v>121</v>
      </c>
      <c r="M195" s="10">
        <v>639382.33225812134</v>
      </c>
      <c r="N195" s="10">
        <v>0</v>
      </c>
      <c r="O195" s="10">
        <v>319691.16612906067</v>
      </c>
      <c r="P195" s="10">
        <v>0</v>
      </c>
      <c r="Q195" s="10">
        <v>0</v>
      </c>
      <c r="R195" s="10">
        <v>319691.16612906067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1150888.1980646185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639382.33225812134</v>
      </c>
      <c r="AF195" s="10">
        <v>0</v>
      </c>
      <c r="AG195" s="10">
        <v>0</v>
      </c>
      <c r="AH195" s="10">
        <v>0</v>
      </c>
      <c r="AI195" s="10">
        <v>0</v>
      </c>
      <c r="AJ195" s="10">
        <v>639382.33225812134</v>
      </c>
      <c r="AK195" s="10">
        <v>1278764.6645162427</v>
      </c>
      <c r="AL195" s="10">
        <v>2429652.8625808614</v>
      </c>
      <c r="AM195" s="10">
        <v>2237838.1629034248</v>
      </c>
      <c r="AN195" s="10">
        <v>0</v>
      </c>
      <c r="AO195" s="10">
        <v>0</v>
      </c>
      <c r="AP195" s="16">
        <f t="shared" si="3"/>
        <v>5946255.6900005285</v>
      </c>
    </row>
    <row r="196" spans="1:42" x14ac:dyDescent="0.25">
      <c r="A196" s="6" t="s">
        <v>30</v>
      </c>
      <c r="B196" s="6" t="s">
        <v>18</v>
      </c>
      <c r="C196" s="6" t="s">
        <v>19</v>
      </c>
      <c r="D196" s="7" t="s">
        <v>20</v>
      </c>
      <c r="E196" s="7" t="s">
        <v>21</v>
      </c>
      <c r="F196" s="7" t="s">
        <v>22</v>
      </c>
      <c r="G196" s="7" t="s">
        <v>23</v>
      </c>
      <c r="H196" s="7" t="s">
        <v>31</v>
      </c>
      <c r="I196" s="6" t="s">
        <v>119</v>
      </c>
      <c r="J196" s="6"/>
      <c r="K196" s="6" t="s">
        <v>120</v>
      </c>
      <c r="L196" s="6" t="s">
        <v>121</v>
      </c>
      <c r="M196" s="10">
        <v>0</v>
      </c>
      <c r="N196" s="10">
        <v>0</v>
      </c>
      <c r="O196" s="10">
        <v>97591.862283384515</v>
      </c>
      <c r="P196" s="10">
        <v>0</v>
      </c>
      <c r="Q196" s="10">
        <v>0</v>
      </c>
      <c r="R196" s="10">
        <v>97591.862283384515</v>
      </c>
      <c r="S196" s="10">
        <v>0</v>
      </c>
      <c r="T196" s="10">
        <v>0</v>
      </c>
      <c r="U196" s="10">
        <v>195183.72456676903</v>
      </c>
      <c r="V196" s="10">
        <v>0</v>
      </c>
      <c r="W196" s="10">
        <v>0</v>
      </c>
      <c r="X196" s="10">
        <v>0</v>
      </c>
      <c r="Y196" s="10">
        <v>390367.44913353806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195183.72456676903</v>
      </c>
      <c r="AF196" s="10">
        <v>0</v>
      </c>
      <c r="AG196" s="10">
        <v>0</v>
      </c>
      <c r="AH196" s="10">
        <v>0</v>
      </c>
      <c r="AI196" s="10">
        <v>0</v>
      </c>
      <c r="AJ196" s="10">
        <v>195183.72456676903</v>
      </c>
      <c r="AK196" s="10">
        <v>390367.44913353806</v>
      </c>
      <c r="AL196" s="10">
        <v>780734.89826707612</v>
      </c>
      <c r="AM196" s="10">
        <v>683143.03598369157</v>
      </c>
      <c r="AN196" s="10">
        <v>0</v>
      </c>
      <c r="AO196" s="10">
        <v>0</v>
      </c>
      <c r="AP196" s="16">
        <f t="shared" si="3"/>
        <v>1854245.3833843055</v>
      </c>
    </row>
    <row r="197" spans="1:42" x14ac:dyDescent="0.25">
      <c r="A197" s="6" t="s">
        <v>30</v>
      </c>
      <c r="B197" s="6" t="s">
        <v>18</v>
      </c>
      <c r="C197" s="6" t="s">
        <v>19</v>
      </c>
      <c r="D197" s="7" t="s">
        <v>20</v>
      </c>
      <c r="E197" s="7" t="s">
        <v>21</v>
      </c>
      <c r="F197" s="7" t="s">
        <v>22</v>
      </c>
      <c r="G197" s="7" t="s">
        <v>23</v>
      </c>
      <c r="H197" s="7" t="s">
        <v>31</v>
      </c>
      <c r="I197" s="6" t="s">
        <v>119</v>
      </c>
      <c r="J197" s="6"/>
      <c r="K197" s="6" t="s">
        <v>120</v>
      </c>
      <c r="L197" s="6" t="s">
        <v>121</v>
      </c>
      <c r="M197" s="10">
        <v>0</v>
      </c>
      <c r="N197" s="10">
        <v>0</v>
      </c>
      <c r="O197" s="10">
        <v>164410.24559121847</v>
      </c>
      <c r="P197" s="10">
        <v>0</v>
      </c>
      <c r="Q197" s="10">
        <v>0</v>
      </c>
      <c r="R197" s="10">
        <v>164410.24559121847</v>
      </c>
      <c r="S197" s="10">
        <v>0</v>
      </c>
      <c r="T197" s="10">
        <v>0</v>
      </c>
      <c r="U197" s="10">
        <v>328820.49118243693</v>
      </c>
      <c r="V197" s="10">
        <v>0</v>
      </c>
      <c r="W197" s="10">
        <v>0</v>
      </c>
      <c r="X197" s="10">
        <v>0</v>
      </c>
      <c r="Y197" s="10">
        <v>657640.98236487387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328820.49118243693</v>
      </c>
      <c r="AF197" s="10">
        <v>0</v>
      </c>
      <c r="AG197" s="10">
        <v>0</v>
      </c>
      <c r="AH197" s="10">
        <v>0</v>
      </c>
      <c r="AI197" s="10">
        <v>0</v>
      </c>
      <c r="AJ197" s="10">
        <v>328820.49118243693</v>
      </c>
      <c r="AK197" s="10">
        <v>657640.98236487387</v>
      </c>
      <c r="AL197" s="10">
        <v>1315281.9647297477</v>
      </c>
      <c r="AM197" s="10">
        <v>1150871.7191385294</v>
      </c>
      <c r="AN197" s="10">
        <v>0</v>
      </c>
      <c r="AO197" s="10">
        <v>0</v>
      </c>
      <c r="AP197" s="16">
        <f t="shared" ref="AP197:AP260" si="4">SUM(AK197:AO197)</f>
        <v>3123794.6662331512</v>
      </c>
    </row>
    <row r="198" spans="1:42" x14ac:dyDescent="0.25">
      <c r="A198" s="6" t="s">
        <v>30</v>
      </c>
      <c r="B198" s="6" t="s">
        <v>18</v>
      </c>
      <c r="C198" s="6" t="s">
        <v>19</v>
      </c>
      <c r="D198" s="7" t="s">
        <v>20</v>
      </c>
      <c r="E198" s="7" t="s">
        <v>21</v>
      </c>
      <c r="F198" s="7" t="s">
        <v>22</v>
      </c>
      <c r="G198" s="7" t="s">
        <v>23</v>
      </c>
      <c r="H198" s="7" t="s">
        <v>31</v>
      </c>
      <c r="I198" s="6" t="s">
        <v>119</v>
      </c>
      <c r="J198" s="6"/>
      <c r="K198" s="6" t="s">
        <v>120</v>
      </c>
      <c r="L198" s="6" t="s">
        <v>121</v>
      </c>
      <c r="M198" s="10">
        <v>0</v>
      </c>
      <c r="N198" s="10">
        <v>0</v>
      </c>
      <c r="O198" s="10">
        <v>0</v>
      </c>
      <c r="P198" s="10">
        <v>0</v>
      </c>
      <c r="Q198" s="10">
        <v>218437.32027031467</v>
      </c>
      <c r="R198" s="10">
        <v>109218.66013515733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546093.30067578668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218437.32027031467</v>
      </c>
      <c r="AF198" s="10">
        <v>0</v>
      </c>
      <c r="AG198" s="10">
        <v>0</v>
      </c>
      <c r="AH198" s="10">
        <v>0</v>
      </c>
      <c r="AI198" s="10">
        <v>0</v>
      </c>
      <c r="AJ198" s="10">
        <v>218437.32027031467</v>
      </c>
      <c r="AK198" s="10">
        <v>327655.98040547199</v>
      </c>
      <c r="AL198" s="10">
        <v>982967.94121641596</v>
      </c>
      <c r="AM198" s="10">
        <v>764530.62094610138</v>
      </c>
      <c r="AN198" s="10">
        <v>0</v>
      </c>
      <c r="AO198" s="10">
        <v>0</v>
      </c>
      <c r="AP198" s="16">
        <f t="shared" si="4"/>
        <v>2075154.5425679893</v>
      </c>
    </row>
    <row r="199" spans="1:42" x14ac:dyDescent="0.25">
      <c r="A199" s="6" t="s">
        <v>30</v>
      </c>
      <c r="B199" s="6" t="s">
        <v>18</v>
      </c>
      <c r="C199" s="6" t="s">
        <v>19</v>
      </c>
      <c r="D199" s="7" t="s">
        <v>20</v>
      </c>
      <c r="E199" s="7" t="s">
        <v>21</v>
      </c>
      <c r="F199" s="7" t="s">
        <v>22</v>
      </c>
      <c r="G199" s="7" t="s">
        <v>23</v>
      </c>
      <c r="H199" s="7" t="s">
        <v>31</v>
      </c>
      <c r="I199" s="6" t="s">
        <v>25</v>
      </c>
      <c r="J199" s="6"/>
      <c r="K199" s="6" t="s">
        <v>102</v>
      </c>
      <c r="L199" s="6" t="s">
        <v>103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0">
        <v>0</v>
      </c>
      <c r="AM199" s="10">
        <v>0</v>
      </c>
      <c r="AN199" s="10">
        <v>0</v>
      </c>
      <c r="AO199" s="10">
        <v>0</v>
      </c>
      <c r="AP199" s="16">
        <f t="shared" si="4"/>
        <v>0</v>
      </c>
    </row>
    <row r="200" spans="1:42" x14ac:dyDescent="0.25">
      <c r="A200" s="6" t="s">
        <v>30</v>
      </c>
      <c r="B200" s="6" t="s">
        <v>18</v>
      </c>
      <c r="C200" s="6" t="s">
        <v>112</v>
      </c>
      <c r="D200" s="7" t="s">
        <v>113</v>
      </c>
      <c r="E200" s="7" t="s">
        <v>21</v>
      </c>
      <c r="F200" s="7" t="s">
        <v>114</v>
      </c>
      <c r="G200" s="7" t="s">
        <v>23</v>
      </c>
      <c r="H200" s="7" t="s">
        <v>124</v>
      </c>
      <c r="I200" s="6" t="s">
        <v>116</v>
      </c>
      <c r="J200" s="6"/>
      <c r="K200" s="6" t="s">
        <v>122</v>
      </c>
      <c r="L200" s="6" t="s">
        <v>123</v>
      </c>
      <c r="M200" s="10">
        <v>264982.86154480051</v>
      </c>
      <c r="N200" s="10">
        <v>794948.58463440172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529965.72308960103</v>
      </c>
      <c r="X200" s="10">
        <v>397474.29231720086</v>
      </c>
      <c r="Y200" s="10">
        <v>0</v>
      </c>
      <c r="Z200" s="10">
        <v>529965.72308960103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  <c r="AI200" s="10">
        <v>0</v>
      </c>
      <c r="AJ200" s="10">
        <v>0</v>
      </c>
      <c r="AK200" s="10">
        <v>1987371.4615860041</v>
      </c>
      <c r="AL200" s="10">
        <v>529965.72308960103</v>
      </c>
      <c r="AM200" s="10">
        <v>0</v>
      </c>
      <c r="AN200" s="10">
        <v>0</v>
      </c>
      <c r="AO200" s="10">
        <v>0</v>
      </c>
      <c r="AP200" s="16">
        <f t="shared" si="4"/>
        <v>2517337.184675605</v>
      </c>
    </row>
    <row r="201" spans="1:42" x14ac:dyDescent="0.25">
      <c r="A201" s="6" t="s">
        <v>32</v>
      </c>
      <c r="B201" s="6" t="s">
        <v>18</v>
      </c>
      <c r="C201" s="6" t="s">
        <v>62</v>
      </c>
      <c r="D201" s="7" t="s">
        <v>63</v>
      </c>
      <c r="E201" s="7" t="s">
        <v>21</v>
      </c>
      <c r="F201" s="7" t="s">
        <v>64</v>
      </c>
      <c r="G201" s="7" t="s">
        <v>23</v>
      </c>
      <c r="H201" s="7" t="s">
        <v>70</v>
      </c>
      <c r="I201" s="6" t="s">
        <v>66</v>
      </c>
      <c r="J201" s="6"/>
      <c r="K201" s="6" t="s">
        <v>104</v>
      </c>
      <c r="L201" s="6" t="s">
        <v>105</v>
      </c>
      <c r="M201" s="10">
        <v>0</v>
      </c>
      <c r="N201" s="10">
        <v>3754.4100582905253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3754.4100582905253</v>
      </c>
      <c r="AL201" s="10">
        <v>0</v>
      </c>
      <c r="AM201" s="10">
        <v>0</v>
      </c>
      <c r="AN201" s="10">
        <v>0</v>
      </c>
      <c r="AO201" s="10">
        <v>0</v>
      </c>
      <c r="AP201" s="16">
        <f t="shared" si="4"/>
        <v>3754.4100582905253</v>
      </c>
    </row>
    <row r="202" spans="1:42" x14ac:dyDescent="0.25">
      <c r="A202" s="6" t="s">
        <v>32</v>
      </c>
      <c r="B202" s="6" t="s">
        <v>18</v>
      </c>
      <c r="C202" s="6" t="s">
        <v>19</v>
      </c>
      <c r="D202" s="7" t="s">
        <v>20</v>
      </c>
      <c r="E202" s="7" t="s">
        <v>21</v>
      </c>
      <c r="F202" s="7" t="s">
        <v>22</v>
      </c>
      <c r="G202" s="7" t="s">
        <v>23</v>
      </c>
      <c r="H202" s="7" t="s">
        <v>33</v>
      </c>
      <c r="I202" s="6" t="s">
        <v>25</v>
      </c>
      <c r="J202" s="6"/>
      <c r="K202" s="6" t="s">
        <v>106</v>
      </c>
      <c r="L202" s="6" t="s">
        <v>107</v>
      </c>
      <c r="M202" s="10">
        <v>6563.482031902422</v>
      </c>
      <c r="N202" s="10">
        <v>0</v>
      </c>
      <c r="O202" s="10">
        <v>0</v>
      </c>
      <c r="P202" s="10">
        <v>6563.482031902422</v>
      </c>
      <c r="Q202" s="10">
        <v>0</v>
      </c>
      <c r="R202" s="10">
        <v>0</v>
      </c>
      <c r="S202" s="10">
        <v>0</v>
      </c>
      <c r="T202" s="10">
        <v>6563.482031902422</v>
      </c>
      <c r="U202" s="10">
        <v>0</v>
      </c>
      <c r="V202" s="10">
        <v>0</v>
      </c>
      <c r="W202" s="10">
        <v>0</v>
      </c>
      <c r="X202" s="10">
        <v>6563.482031902422</v>
      </c>
      <c r="Y202" s="10">
        <v>6563.482031902422</v>
      </c>
      <c r="Z202" s="10">
        <v>0</v>
      </c>
      <c r="AA202" s="10">
        <v>0</v>
      </c>
      <c r="AB202" s="10">
        <v>6563.482031902422</v>
      </c>
      <c r="AC202" s="10">
        <v>0</v>
      </c>
      <c r="AD202" s="10">
        <v>0</v>
      </c>
      <c r="AE202" s="10">
        <v>0</v>
      </c>
      <c r="AF202" s="10">
        <v>6563.482031902422</v>
      </c>
      <c r="AG202" s="10">
        <v>0</v>
      </c>
      <c r="AH202" s="10">
        <v>0</v>
      </c>
      <c r="AI202" s="10">
        <v>0</v>
      </c>
      <c r="AJ202" s="10">
        <v>6563.482031902422</v>
      </c>
      <c r="AK202" s="10">
        <v>26253.928127609688</v>
      </c>
      <c r="AL202" s="10">
        <v>26253.928127609688</v>
      </c>
      <c r="AM202" s="10">
        <v>26253.928127609688</v>
      </c>
      <c r="AN202" s="10">
        <v>26253.928127609688</v>
      </c>
      <c r="AO202" s="10">
        <v>26253.928127609688</v>
      </c>
      <c r="AP202" s="16">
        <f t="shared" si="4"/>
        <v>131269.64063804844</v>
      </c>
    </row>
    <row r="203" spans="1:42" x14ac:dyDescent="0.25">
      <c r="A203" s="6" t="s">
        <v>32</v>
      </c>
      <c r="B203" s="6" t="s">
        <v>18</v>
      </c>
      <c r="C203" s="6" t="s">
        <v>19</v>
      </c>
      <c r="D203" s="7" t="s">
        <v>20</v>
      </c>
      <c r="E203" s="7" t="s">
        <v>21</v>
      </c>
      <c r="F203" s="7" t="s">
        <v>22</v>
      </c>
      <c r="G203" s="7" t="s">
        <v>23</v>
      </c>
      <c r="H203" s="7" t="s">
        <v>33</v>
      </c>
      <c r="I203" s="6" t="s">
        <v>25</v>
      </c>
      <c r="J203" s="6"/>
      <c r="K203" s="6"/>
      <c r="L203" s="6" t="s">
        <v>108</v>
      </c>
      <c r="M203" s="10">
        <v>0</v>
      </c>
      <c r="N203" s="10">
        <v>0</v>
      </c>
      <c r="O203" s="10">
        <v>0</v>
      </c>
      <c r="P203" s="10">
        <v>0</v>
      </c>
      <c r="Q203" s="10">
        <v>7126.0220925953899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7126.0220925953899</v>
      </c>
      <c r="AL203" s="10">
        <v>0</v>
      </c>
      <c r="AM203" s="10">
        <v>0</v>
      </c>
      <c r="AN203" s="10">
        <v>0</v>
      </c>
      <c r="AO203" s="10">
        <v>0</v>
      </c>
      <c r="AP203" s="16">
        <f t="shared" si="4"/>
        <v>7126.0220925953899</v>
      </c>
    </row>
    <row r="204" spans="1:42" x14ac:dyDescent="0.25">
      <c r="A204" s="6" t="s">
        <v>32</v>
      </c>
      <c r="B204" s="6" t="s">
        <v>18</v>
      </c>
      <c r="C204" s="6" t="s">
        <v>19</v>
      </c>
      <c r="D204" s="7" t="s">
        <v>20</v>
      </c>
      <c r="E204" s="7" t="s">
        <v>21</v>
      </c>
      <c r="F204" s="7" t="s">
        <v>22</v>
      </c>
      <c r="G204" s="7" t="s">
        <v>23</v>
      </c>
      <c r="H204" s="7" t="s">
        <v>33</v>
      </c>
      <c r="I204" s="6" t="s">
        <v>87</v>
      </c>
      <c r="J204" s="6"/>
      <c r="K204" s="6" t="s">
        <v>109</v>
      </c>
      <c r="L204" s="6" t="s">
        <v>110</v>
      </c>
      <c r="M204" s="10">
        <v>0</v>
      </c>
      <c r="N204" s="10">
        <v>4817.1909345944832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4817.1909345944832</v>
      </c>
      <c r="AL204" s="10">
        <v>0</v>
      </c>
      <c r="AM204" s="10">
        <v>88121.814401453114</v>
      </c>
      <c r="AN204" s="10">
        <v>0</v>
      </c>
      <c r="AO204" s="10">
        <v>92527.903142075185</v>
      </c>
      <c r="AP204" s="16">
        <f t="shared" si="4"/>
        <v>185466.90847812279</v>
      </c>
    </row>
    <row r="205" spans="1:42" x14ac:dyDescent="0.25">
      <c r="A205" s="6" t="s">
        <v>32</v>
      </c>
      <c r="B205" s="6" t="s">
        <v>18</v>
      </c>
      <c r="C205" s="6" t="s">
        <v>19</v>
      </c>
      <c r="D205" s="7" t="s">
        <v>20</v>
      </c>
      <c r="E205" s="7" t="s">
        <v>21</v>
      </c>
      <c r="F205" s="7" t="s">
        <v>22</v>
      </c>
      <c r="G205" s="7" t="s">
        <v>23</v>
      </c>
      <c r="H205" s="7" t="s">
        <v>33</v>
      </c>
      <c r="I205" s="6" t="s">
        <v>25</v>
      </c>
      <c r="J205" s="6"/>
      <c r="K205" s="6"/>
      <c r="L205" s="6" t="s">
        <v>111</v>
      </c>
      <c r="M205" s="10">
        <v>0</v>
      </c>
      <c r="N205" s="10">
        <v>0</v>
      </c>
      <c r="O205" s="10">
        <v>6128.3789996320356</v>
      </c>
      <c r="P205" s="10">
        <v>4750.6813950635933</v>
      </c>
      <c r="Q205" s="10">
        <v>0</v>
      </c>
      <c r="R205" s="10">
        <v>8658.1168425033993</v>
      </c>
      <c r="S205" s="10">
        <v>4750.6813950635933</v>
      </c>
      <c r="T205" s="10">
        <v>0</v>
      </c>
      <c r="U205" s="10">
        <v>6099.8749112616542</v>
      </c>
      <c r="V205" s="10">
        <v>4750.6813950635933</v>
      </c>
      <c r="W205" s="10">
        <v>0</v>
      </c>
      <c r="X205" s="10">
        <v>7617.7176169844715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42756.132555572345</v>
      </c>
      <c r="AL205" s="10">
        <v>0</v>
      </c>
      <c r="AM205" s="10">
        <v>0</v>
      </c>
      <c r="AN205" s="10">
        <v>950136.2790127187</v>
      </c>
      <c r="AO205" s="10">
        <v>950136.2790127187</v>
      </c>
      <c r="AP205" s="16">
        <f t="shared" si="4"/>
        <v>1943028.6905810097</v>
      </c>
    </row>
    <row r="206" spans="1:42" x14ac:dyDescent="0.25">
      <c r="A206" s="6" t="s">
        <v>32</v>
      </c>
      <c r="B206" s="6" t="s">
        <v>18</v>
      </c>
      <c r="C206" s="6" t="s">
        <v>112</v>
      </c>
      <c r="D206" s="7" t="s">
        <v>113</v>
      </c>
      <c r="E206" s="7" t="s">
        <v>21</v>
      </c>
      <c r="F206" s="7" t="s">
        <v>114</v>
      </c>
      <c r="G206" s="7" t="s">
        <v>23</v>
      </c>
      <c r="H206" s="7" t="s">
        <v>125</v>
      </c>
      <c r="I206" s="6" t="s">
        <v>116</v>
      </c>
      <c r="J206" s="6"/>
      <c r="K206" s="6" t="s">
        <v>117</v>
      </c>
      <c r="L206" s="6" t="s">
        <v>118</v>
      </c>
      <c r="M206" s="10">
        <v>55929.405865726148</v>
      </c>
      <c r="N206" s="10">
        <v>45377.063686723115</v>
      </c>
      <c r="O206" s="10">
        <v>0</v>
      </c>
      <c r="P206" s="10">
        <v>45377.063686723115</v>
      </c>
      <c r="Q206" s="10">
        <v>0</v>
      </c>
      <c r="R206" s="10">
        <v>164818.95264998754</v>
      </c>
      <c r="S206" s="10">
        <v>84957.128195625701</v>
      </c>
      <c r="T206" s="10">
        <v>45377.063686723115</v>
      </c>
      <c r="U206" s="10">
        <v>0</v>
      </c>
      <c r="V206" s="10">
        <v>0</v>
      </c>
      <c r="W206" s="10">
        <v>176171.80443856461</v>
      </c>
      <c r="X206" s="10">
        <v>164818.95264998754</v>
      </c>
      <c r="Y206" s="10">
        <v>41545.786775626846</v>
      </c>
      <c r="Z206" s="10">
        <v>41545.786775626846</v>
      </c>
      <c r="AA206" s="10">
        <v>41545.786775626846</v>
      </c>
      <c r="AB206" s="10">
        <v>41545.786775626846</v>
      </c>
      <c r="AC206" s="10">
        <v>41545.786775626846</v>
      </c>
      <c r="AD206" s="10">
        <v>41545.786775626846</v>
      </c>
      <c r="AE206" s="10">
        <v>41545.786775626846</v>
      </c>
      <c r="AF206" s="10">
        <v>41545.786775626846</v>
      </c>
      <c r="AG206" s="10">
        <v>41545.786775626846</v>
      </c>
      <c r="AH206" s="10">
        <v>41545.786775626846</v>
      </c>
      <c r="AI206" s="10">
        <v>41545.786775626846</v>
      </c>
      <c r="AJ206" s="10">
        <v>41545.786775626846</v>
      </c>
      <c r="AK206" s="10">
        <v>782827.43486006092</v>
      </c>
      <c r="AL206" s="10">
        <v>498549.44130752218</v>
      </c>
      <c r="AM206" s="10">
        <v>386690.61967881693</v>
      </c>
      <c r="AN206" s="10">
        <v>171158.14313652553</v>
      </c>
      <c r="AO206" s="10">
        <v>0</v>
      </c>
      <c r="AP206" s="16">
        <f t="shared" si="4"/>
        <v>1839225.6389829256</v>
      </c>
    </row>
    <row r="207" spans="1:42" x14ac:dyDescent="0.25">
      <c r="A207" s="6" t="s">
        <v>32</v>
      </c>
      <c r="B207" s="6" t="s">
        <v>18</v>
      </c>
      <c r="C207" s="6" t="s">
        <v>112</v>
      </c>
      <c r="D207" s="7" t="s">
        <v>113</v>
      </c>
      <c r="E207" s="7" t="s">
        <v>21</v>
      </c>
      <c r="F207" s="7" t="s">
        <v>114</v>
      </c>
      <c r="G207" s="7" t="s">
        <v>23</v>
      </c>
      <c r="H207" s="7" t="s">
        <v>125</v>
      </c>
      <c r="I207" s="6" t="s">
        <v>116</v>
      </c>
      <c r="J207" s="6"/>
      <c r="K207" s="6" t="s">
        <v>117</v>
      </c>
      <c r="L207" s="6" t="s">
        <v>118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0">
        <v>0</v>
      </c>
      <c r="AM207" s="10">
        <v>63391.904865379824</v>
      </c>
      <c r="AN207" s="10">
        <v>0</v>
      </c>
      <c r="AO207" s="10">
        <v>0</v>
      </c>
      <c r="AP207" s="16">
        <f t="shared" si="4"/>
        <v>63391.904865379824</v>
      </c>
    </row>
    <row r="208" spans="1:42" x14ac:dyDescent="0.25">
      <c r="A208" s="6" t="s">
        <v>32</v>
      </c>
      <c r="B208" s="6" t="s">
        <v>18</v>
      </c>
      <c r="C208" s="6" t="s">
        <v>112</v>
      </c>
      <c r="D208" s="7" t="s">
        <v>113</v>
      </c>
      <c r="E208" s="7" t="s">
        <v>21</v>
      </c>
      <c r="F208" s="7" t="s">
        <v>114</v>
      </c>
      <c r="G208" s="7" t="s">
        <v>23</v>
      </c>
      <c r="H208" s="7" t="s">
        <v>125</v>
      </c>
      <c r="I208" s="6" t="s">
        <v>116</v>
      </c>
      <c r="J208" s="6"/>
      <c r="K208" s="6" t="s">
        <v>117</v>
      </c>
      <c r="L208" s="6" t="s">
        <v>118</v>
      </c>
      <c r="M208" s="10">
        <v>0</v>
      </c>
      <c r="N208" s="10">
        <v>78117.131763398298</v>
      </c>
      <c r="O208" s="10">
        <v>0</v>
      </c>
      <c r="P208" s="10">
        <v>62493.709369619814</v>
      </c>
      <c r="Q208" s="10">
        <v>21777.437436435088</v>
      </c>
      <c r="R208" s="10">
        <v>0</v>
      </c>
      <c r="S208" s="10">
        <v>31246.853750509224</v>
      </c>
      <c r="T208" s="10">
        <v>21777.437436435088</v>
      </c>
      <c r="U208" s="10">
        <v>5444.359359108772</v>
      </c>
      <c r="V208" s="10">
        <v>27221.796795543862</v>
      </c>
      <c r="W208" s="10">
        <v>21777.437436435088</v>
      </c>
      <c r="X208" s="10">
        <v>0</v>
      </c>
      <c r="Y208" s="10">
        <v>12176.379390219321</v>
      </c>
      <c r="Z208" s="10">
        <v>12176.379390219321</v>
      </c>
      <c r="AA208" s="10">
        <v>12176.379390219321</v>
      </c>
      <c r="AB208" s="10">
        <v>12176.379390219321</v>
      </c>
      <c r="AC208" s="10">
        <v>12176.379390219321</v>
      </c>
      <c r="AD208" s="10">
        <v>12176.379390219321</v>
      </c>
      <c r="AE208" s="10">
        <v>12176.379390219321</v>
      </c>
      <c r="AF208" s="10">
        <v>12176.379390219321</v>
      </c>
      <c r="AG208" s="10">
        <v>12176.379390219321</v>
      </c>
      <c r="AH208" s="10">
        <v>12176.379390219321</v>
      </c>
      <c r="AI208" s="10">
        <v>12176.379390219321</v>
      </c>
      <c r="AJ208" s="10">
        <v>12176.379390219321</v>
      </c>
      <c r="AK208" s="10">
        <v>269856.16334748524</v>
      </c>
      <c r="AL208" s="10">
        <v>146116.55268263188</v>
      </c>
      <c r="AM208" s="10">
        <v>0</v>
      </c>
      <c r="AN208" s="10">
        <v>0</v>
      </c>
      <c r="AO208" s="10">
        <v>0</v>
      </c>
      <c r="AP208" s="16">
        <f t="shared" si="4"/>
        <v>415972.71603011712</v>
      </c>
    </row>
    <row r="209" spans="1:42" x14ac:dyDescent="0.25">
      <c r="A209" s="6" t="s">
        <v>32</v>
      </c>
      <c r="B209" s="6" t="s">
        <v>18</v>
      </c>
      <c r="C209" s="6" t="s">
        <v>112</v>
      </c>
      <c r="D209" s="7" t="s">
        <v>113</v>
      </c>
      <c r="E209" s="7" t="s">
        <v>21</v>
      </c>
      <c r="F209" s="7" t="s">
        <v>114</v>
      </c>
      <c r="G209" s="7" t="s">
        <v>23</v>
      </c>
      <c r="H209" s="7" t="s">
        <v>125</v>
      </c>
      <c r="I209" s="6" t="s">
        <v>116</v>
      </c>
      <c r="J209" s="6"/>
      <c r="K209" s="6" t="s">
        <v>117</v>
      </c>
      <c r="L209" s="6" t="s">
        <v>118</v>
      </c>
      <c r="M209" s="10">
        <v>0</v>
      </c>
      <c r="N209" s="10">
        <v>46002.823010342167</v>
      </c>
      <c r="O209" s="10">
        <v>0</v>
      </c>
      <c r="P209" s="10">
        <v>34502.117257756625</v>
      </c>
      <c r="Q209" s="10">
        <v>39236.958347618194</v>
      </c>
      <c r="R209" s="10">
        <v>0</v>
      </c>
      <c r="S209" s="10">
        <v>46002.823010342167</v>
      </c>
      <c r="T209" s="10">
        <v>78461.239582101422</v>
      </c>
      <c r="U209" s="10">
        <v>0</v>
      </c>
      <c r="V209" s="10">
        <v>52315.945731329026</v>
      </c>
      <c r="W209" s="10">
        <v>39277.974177904194</v>
      </c>
      <c r="X209" s="10">
        <v>41196.944127793686</v>
      </c>
      <c r="Y209" s="10">
        <v>39231.774791557356</v>
      </c>
      <c r="Z209" s="10">
        <v>39231.774791557356</v>
      </c>
      <c r="AA209" s="10">
        <v>39231.774791557356</v>
      </c>
      <c r="AB209" s="10">
        <v>39231.774791557356</v>
      </c>
      <c r="AC209" s="10">
        <v>39231.774791557356</v>
      </c>
      <c r="AD209" s="10">
        <v>39231.774791557356</v>
      </c>
      <c r="AE209" s="10">
        <v>39231.774791557356</v>
      </c>
      <c r="AF209" s="10">
        <v>39231.774791557356</v>
      </c>
      <c r="AG209" s="10">
        <v>39231.774791557356</v>
      </c>
      <c r="AH209" s="10">
        <v>39231.774791557356</v>
      </c>
      <c r="AI209" s="10">
        <v>39231.774791557356</v>
      </c>
      <c r="AJ209" s="10">
        <v>39231.774791557356</v>
      </c>
      <c r="AK209" s="10">
        <v>376996.82524518744</v>
      </c>
      <c r="AL209" s="10">
        <v>470781.29749868828</v>
      </c>
      <c r="AM209" s="10">
        <v>134681.49526976526</v>
      </c>
      <c r="AN209" s="10">
        <v>0</v>
      </c>
      <c r="AO209" s="10">
        <v>0</v>
      </c>
      <c r="AP209" s="16">
        <f t="shared" si="4"/>
        <v>982459.61801364098</v>
      </c>
    </row>
    <row r="210" spans="1:42" x14ac:dyDescent="0.25">
      <c r="A210" s="6" t="s">
        <v>32</v>
      </c>
      <c r="B210" s="6" t="s">
        <v>18</v>
      </c>
      <c r="C210" s="6" t="s">
        <v>19</v>
      </c>
      <c r="D210" s="7" t="s">
        <v>20</v>
      </c>
      <c r="E210" s="7" t="s">
        <v>21</v>
      </c>
      <c r="F210" s="7" t="s">
        <v>22</v>
      </c>
      <c r="G210" s="7" t="s">
        <v>23</v>
      </c>
      <c r="H210" s="7" t="s">
        <v>33</v>
      </c>
      <c r="I210" s="6" t="s">
        <v>119</v>
      </c>
      <c r="J210" s="6"/>
      <c r="K210" s="6" t="s">
        <v>120</v>
      </c>
      <c r="L210" s="6" t="s">
        <v>121</v>
      </c>
      <c r="M210" s="10">
        <v>165893.79431562067</v>
      </c>
      <c r="N210" s="10">
        <v>0</v>
      </c>
      <c r="O210" s="10">
        <v>82946.897157810337</v>
      </c>
      <c r="P210" s="10">
        <v>0</v>
      </c>
      <c r="Q210" s="10">
        <v>0</v>
      </c>
      <c r="R210" s="10">
        <v>82946.897157810337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298608.82976811723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165893.79431562067</v>
      </c>
      <c r="AF210" s="10">
        <v>0</v>
      </c>
      <c r="AG210" s="10">
        <v>0</v>
      </c>
      <c r="AH210" s="10">
        <v>0</v>
      </c>
      <c r="AI210" s="10">
        <v>0</v>
      </c>
      <c r="AJ210" s="10">
        <v>165893.79431562067</v>
      </c>
      <c r="AK210" s="10">
        <v>331787.58863124135</v>
      </c>
      <c r="AL210" s="10">
        <v>630396.41839935863</v>
      </c>
      <c r="AM210" s="10">
        <v>580628.28010467242</v>
      </c>
      <c r="AN210" s="10">
        <v>0</v>
      </c>
      <c r="AO210" s="10">
        <v>0</v>
      </c>
      <c r="AP210" s="16">
        <f t="shared" si="4"/>
        <v>1542812.2871352723</v>
      </c>
    </row>
    <row r="211" spans="1:42" x14ac:dyDescent="0.25">
      <c r="A211" s="6" t="s">
        <v>32</v>
      </c>
      <c r="B211" s="6" t="s">
        <v>18</v>
      </c>
      <c r="C211" s="6" t="s">
        <v>19</v>
      </c>
      <c r="D211" s="7" t="s">
        <v>20</v>
      </c>
      <c r="E211" s="7" t="s">
        <v>21</v>
      </c>
      <c r="F211" s="7" t="s">
        <v>22</v>
      </c>
      <c r="G211" s="7" t="s">
        <v>23</v>
      </c>
      <c r="H211" s="7" t="s">
        <v>33</v>
      </c>
      <c r="I211" s="6" t="s">
        <v>119</v>
      </c>
      <c r="J211" s="6"/>
      <c r="K211" s="6" t="s">
        <v>120</v>
      </c>
      <c r="L211" s="6" t="s">
        <v>121</v>
      </c>
      <c r="M211" s="10">
        <v>0</v>
      </c>
      <c r="N211" s="10">
        <v>0</v>
      </c>
      <c r="O211" s="10">
        <v>25321.131835688953</v>
      </c>
      <c r="P211" s="10">
        <v>0</v>
      </c>
      <c r="Q211" s="10">
        <v>0</v>
      </c>
      <c r="R211" s="10">
        <v>25321.131835688953</v>
      </c>
      <c r="S211" s="10">
        <v>0</v>
      </c>
      <c r="T211" s="10">
        <v>0</v>
      </c>
      <c r="U211" s="10">
        <v>50642.263671377907</v>
      </c>
      <c r="V211" s="10">
        <v>0</v>
      </c>
      <c r="W211" s="10">
        <v>0</v>
      </c>
      <c r="X211" s="10">
        <v>0</v>
      </c>
      <c r="Y211" s="10">
        <v>101284.52734275581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50642.263671377907</v>
      </c>
      <c r="AF211" s="10">
        <v>0</v>
      </c>
      <c r="AG211" s="10">
        <v>0</v>
      </c>
      <c r="AH211" s="10">
        <v>0</v>
      </c>
      <c r="AI211" s="10">
        <v>0</v>
      </c>
      <c r="AJ211" s="10">
        <v>50642.263671377907</v>
      </c>
      <c r="AK211" s="10">
        <v>101284.52734275581</v>
      </c>
      <c r="AL211" s="10">
        <v>202569.05468551163</v>
      </c>
      <c r="AM211" s="10">
        <v>177247.92284982267</v>
      </c>
      <c r="AN211" s="10">
        <v>0</v>
      </c>
      <c r="AO211" s="10">
        <v>0</v>
      </c>
      <c r="AP211" s="16">
        <f t="shared" si="4"/>
        <v>481101.50487809011</v>
      </c>
    </row>
    <row r="212" spans="1:42" x14ac:dyDescent="0.25">
      <c r="A212" s="6" t="s">
        <v>32</v>
      </c>
      <c r="B212" s="6" t="s">
        <v>18</v>
      </c>
      <c r="C212" s="6" t="s">
        <v>19</v>
      </c>
      <c r="D212" s="7" t="s">
        <v>20</v>
      </c>
      <c r="E212" s="7" t="s">
        <v>21</v>
      </c>
      <c r="F212" s="7" t="s">
        <v>22</v>
      </c>
      <c r="G212" s="7" t="s">
        <v>23</v>
      </c>
      <c r="H212" s="7" t="s">
        <v>33</v>
      </c>
      <c r="I212" s="6" t="s">
        <v>119</v>
      </c>
      <c r="J212" s="6"/>
      <c r="K212" s="6" t="s">
        <v>120</v>
      </c>
      <c r="L212" s="6" t="s">
        <v>121</v>
      </c>
      <c r="M212" s="10">
        <v>0</v>
      </c>
      <c r="N212" s="10">
        <v>0</v>
      </c>
      <c r="O212" s="10">
        <v>42657.793450694524</v>
      </c>
      <c r="P212" s="10">
        <v>0</v>
      </c>
      <c r="Q212" s="10">
        <v>0</v>
      </c>
      <c r="R212" s="10">
        <v>42657.793450694524</v>
      </c>
      <c r="S212" s="10">
        <v>0</v>
      </c>
      <c r="T212" s="10">
        <v>0</v>
      </c>
      <c r="U212" s="10">
        <v>85315.586901389048</v>
      </c>
      <c r="V212" s="10">
        <v>0</v>
      </c>
      <c r="W212" s="10">
        <v>0</v>
      </c>
      <c r="X212" s="10">
        <v>0</v>
      </c>
      <c r="Y212" s="10">
        <v>170631.1738027781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85315.586901389048</v>
      </c>
      <c r="AF212" s="10">
        <v>0</v>
      </c>
      <c r="AG212" s="10">
        <v>0</v>
      </c>
      <c r="AH212" s="10">
        <v>0</v>
      </c>
      <c r="AI212" s="10">
        <v>0</v>
      </c>
      <c r="AJ212" s="10">
        <v>85315.586901389048</v>
      </c>
      <c r="AK212" s="10">
        <v>170631.1738027781</v>
      </c>
      <c r="AL212" s="10">
        <v>341262.34760555619</v>
      </c>
      <c r="AM212" s="10">
        <v>298604.55415486166</v>
      </c>
      <c r="AN212" s="10">
        <v>0</v>
      </c>
      <c r="AO212" s="10">
        <v>0</v>
      </c>
      <c r="AP212" s="16">
        <f t="shared" si="4"/>
        <v>810498.07556319586</v>
      </c>
    </row>
    <row r="213" spans="1:42" x14ac:dyDescent="0.25">
      <c r="A213" s="6" t="s">
        <v>32</v>
      </c>
      <c r="B213" s="6" t="s">
        <v>18</v>
      </c>
      <c r="C213" s="6" t="s">
        <v>19</v>
      </c>
      <c r="D213" s="7" t="s">
        <v>20</v>
      </c>
      <c r="E213" s="7" t="s">
        <v>21</v>
      </c>
      <c r="F213" s="7" t="s">
        <v>22</v>
      </c>
      <c r="G213" s="7" t="s">
        <v>23</v>
      </c>
      <c r="H213" s="7" t="s">
        <v>33</v>
      </c>
      <c r="I213" s="6" t="s">
        <v>119</v>
      </c>
      <c r="J213" s="6"/>
      <c r="K213" s="6" t="s">
        <v>120</v>
      </c>
      <c r="L213" s="6" t="s">
        <v>121</v>
      </c>
      <c r="M213" s="10">
        <v>0</v>
      </c>
      <c r="N213" s="10">
        <v>0</v>
      </c>
      <c r="O213" s="10">
        <v>0</v>
      </c>
      <c r="P213" s="10">
        <v>0</v>
      </c>
      <c r="Q213" s="10">
        <v>56675.629043108675</v>
      </c>
      <c r="R213" s="10">
        <v>28337.814521554337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141689.07260777167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56675.629043108675</v>
      </c>
      <c r="AF213" s="10">
        <v>0</v>
      </c>
      <c r="AG213" s="10">
        <v>0</v>
      </c>
      <c r="AH213" s="10">
        <v>0</v>
      </c>
      <c r="AI213" s="10">
        <v>0</v>
      </c>
      <c r="AJ213" s="10">
        <v>56675.629043108675</v>
      </c>
      <c r="AK213" s="10">
        <v>85013.443564663001</v>
      </c>
      <c r="AL213" s="10">
        <v>255040.33069398903</v>
      </c>
      <c r="AM213" s="10">
        <v>198364.70165088034</v>
      </c>
      <c r="AN213" s="10">
        <v>0</v>
      </c>
      <c r="AO213" s="10">
        <v>0</v>
      </c>
      <c r="AP213" s="16">
        <f t="shared" si="4"/>
        <v>538418.47590953228</v>
      </c>
    </row>
    <row r="214" spans="1:42" x14ac:dyDescent="0.25">
      <c r="A214" s="6" t="s">
        <v>32</v>
      </c>
      <c r="B214" s="6" t="s">
        <v>18</v>
      </c>
      <c r="C214" s="6" t="s">
        <v>19</v>
      </c>
      <c r="D214" s="7" t="s">
        <v>20</v>
      </c>
      <c r="E214" s="7" t="s">
        <v>21</v>
      </c>
      <c r="F214" s="7" t="s">
        <v>22</v>
      </c>
      <c r="G214" s="7" t="s">
        <v>23</v>
      </c>
      <c r="H214" s="7" t="s">
        <v>33</v>
      </c>
      <c r="I214" s="6" t="s">
        <v>25</v>
      </c>
      <c r="J214" s="6"/>
      <c r="K214" s="6" t="s">
        <v>102</v>
      </c>
      <c r="L214" s="6" t="s">
        <v>103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  <c r="AI214" s="10">
        <v>0</v>
      </c>
      <c r="AJ214" s="10">
        <v>0</v>
      </c>
      <c r="AK214" s="10">
        <v>0</v>
      </c>
      <c r="AL214" s="10">
        <v>0</v>
      </c>
      <c r="AM214" s="10">
        <v>0</v>
      </c>
      <c r="AN214" s="10">
        <v>0</v>
      </c>
      <c r="AO214" s="10">
        <v>0</v>
      </c>
      <c r="AP214" s="16">
        <f t="shared" si="4"/>
        <v>0</v>
      </c>
    </row>
    <row r="215" spans="1:42" x14ac:dyDescent="0.25">
      <c r="A215" s="6" t="s">
        <v>34</v>
      </c>
      <c r="B215" s="6" t="s">
        <v>18</v>
      </c>
      <c r="C215" s="6" t="s">
        <v>62</v>
      </c>
      <c r="D215" s="7" t="s">
        <v>63</v>
      </c>
      <c r="E215" s="7" t="s">
        <v>21</v>
      </c>
      <c r="F215" s="7" t="s">
        <v>64</v>
      </c>
      <c r="G215" s="7" t="s">
        <v>23</v>
      </c>
      <c r="H215" s="7" t="s">
        <v>71</v>
      </c>
      <c r="I215" s="6" t="s">
        <v>66</v>
      </c>
      <c r="J215" s="6"/>
      <c r="K215" s="6" t="s">
        <v>104</v>
      </c>
      <c r="L215" s="6" t="s">
        <v>105</v>
      </c>
      <c r="M215" s="10">
        <v>0</v>
      </c>
      <c r="N215" s="10">
        <v>5974.078167077153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5974.078167077153</v>
      </c>
      <c r="AL215" s="10">
        <v>0</v>
      </c>
      <c r="AM215" s="10">
        <v>0</v>
      </c>
      <c r="AN215" s="10">
        <v>0</v>
      </c>
      <c r="AO215" s="10">
        <v>0</v>
      </c>
      <c r="AP215" s="16">
        <f t="shared" si="4"/>
        <v>5974.078167077153</v>
      </c>
    </row>
    <row r="216" spans="1:42" x14ac:dyDescent="0.25">
      <c r="A216" s="6" t="s">
        <v>34</v>
      </c>
      <c r="B216" s="6" t="s">
        <v>18</v>
      </c>
      <c r="C216" s="6" t="s">
        <v>19</v>
      </c>
      <c r="D216" s="7" t="s">
        <v>20</v>
      </c>
      <c r="E216" s="7" t="s">
        <v>21</v>
      </c>
      <c r="F216" s="7" t="s">
        <v>22</v>
      </c>
      <c r="G216" s="7" t="s">
        <v>23</v>
      </c>
      <c r="H216" s="7" t="s">
        <v>35</v>
      </c>
      <c r="I216" s="6" t="s">
        <v>25</v>
      </c>
      <c r="J216" s="6"/>
      <c r="K216" s="6" t="s">
        <v>106</v>
      </c>
      <c r="L216" s="6" t="s">
        <v>107</v>
      </c>
      <c r="M216" s="10">
        <v>40469.896825956705</v>
      </c>
      <c r="N216" s="10">
        <v>0</v>
      </c>
      <c r="O216" s="10">
        <v>0</v>
      </c>
      <c r="P216" s="10">
        <v>40469.896825956705</v>
      </c>
      <c r="Q216" s="10">
        <v>0</v>
      </c>
      <c r="R216" s="10">
        <v>0</v>
      </c>
      <c r="S216" s="10">
        <v>0</v>
      </c>
      <c r="T216" s="10">
        <v>40469.896825956705</v>
      </c>
      <c r="U216" s="10">
        <v>0</v>
      </c>
      <c r="V216" s="10">
        <v>0</v>
      </c>
      <c r="W216" s="10">
        <v>0</v>
      </c>
      <c r="X216" s="10">
        <v>40469.896825956705</v>
      </c>
      <c r="Y216" s="10">
        <v>40469.896825956705</v>
      </c>
      <c r="Z216" s="10">
        <v>0</v>
      </c>
      <c r="AA216" s="10">
        <v>0</v>
      </c>
      <c r="AB216" s="10">
        <v>40469.896825956705</v>
      </c>
      <c r="AC216" s="10">
        <v>0</v>
      </c>
      <c r="AD216" s="10">
        <v>0</v>
      </c>
      <c r="AE216" s="10">
        <v>0</v>
      </c>
      <c r="AF216" s="10">
        <v>40469.896825956705</v>
      </c>
      <c r="AG216" s="10">
        <v>0</v>
      </c>
      <c r="AH216" s="10">
        <v>0</v>
      </c>
      <c r="AI216" s="10">
        <v>0</v>
      </c>
      <c r="AJ216" s="10">
        <v>40469.896825956705</v>
      </c>
      <c r="AK216" s="10">
        <v>161879.58730382682</v>
      </c>
      <c r="AL216" s="10">
        <v>161879.58730382682</v>
      </c>
      <c r="AM216" s="10">
        <v>161879.58730382682</v>
      </c>
      <c r="AN216" s="10">
        <v>161879.58730382682</v>
      </c>
      <c r="AO216" s="10">
        <v>161879.58730382682</v>
      </c>
      <c r="AP216" s="16">
        <f t="shared" si="4"/>
        <v>809397.93651913409</v>
      </c>
    </row>
    <row r="217" spans="1:42" x14ac:dyDescent="0.25">
      <c r="A217" s="6" t="s">
        <v>34</v>
      </c>
      <c r="B217" s="6" t="s">
        <v>18</v>
      </c>
      <c r="C217" s="6" t="s">
        <v>19</v>
      </c>
      <c r="D217" s="7" t="s">
        <v>20</v>
      </c>
      <c r="E217" s="7" t="s">
        <v>21</v>
      </c>
      <c r="F217" s="7" t="s">
        <v>22</v>
      </c>
      <c r="G217" s="7" t="s">
        <v>23</v>
      </c>
      <c r="H217" s="7" t="s">
        <v>35</v>
      </c>
      <c r="I217" s="6" t="s">
        <v>25</v>
      </c>
      <c r="J217" s="6"/>
      <c r="K217" s="6"/>
      <c r="L217" s="6" t="s">
        <v>108</v>
      </c>
      <c r="M217" s="10">
        <v>0</v>
      </c>
      <c r="N217" s="10">
        <v>0</v>
      </c>
      <c r="O217" s="10">
        <v>0</v>
      </c>
      <c r="P217" s="10">
        <v>0</v>
      </c>
      <c r="Q217" s="10">
        <v>43943.802904338241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43943.802904338241</v>
      </c>
      <c r="AL217" s="10">
        <v>0</v>
      </c>
      <c r="AM217" s="10">
        <v>0</v>
      </c>
      <c r="AN217" s="10">
        <v>0</v>
      </c>
      <c r="AO217" s="10">
        <v>0</v>
      </c>
      <c r="AP217" s="16">
        <f t="shared" si="4"/>
        <v>43943.802904338241</v>
      </c>
    </row>
    <row r="218" spans="1:42" x14ac:dyDescent="0.25">
      <c r="A218" s="6" t="s">
        <v>34</v>
      </c>
      <c r="B218" s="6" t="s">
        <v>18</v>
      </c>
      <c r="C218" s="6" t="s">
        <v>19</v>
      </c>
      <c r="D218" s="7" t="s">
        <v>20</v>
      </c>
      <c r="E218" s="7" t="s">
        <v>21</v>
      </c>
      <c r="F218" s="7" t="s">
        <v>22</v>
      </c>
      <c r="G218" s="7" t="s">
        <v>23</v>
      </c>
      <c r="H218" s="7" t="s">
        <v>35</v>
      </c>
      <c r="I218" s="6" t="s">
        <v>87</v>
      </c>
      <c r="J218" s="6"/>
      <c r="K218" s="6" t="s">
        <v>109</v>
      </c>
      <c r="L218" s="6" t="s">
        <v>110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0">
        <v>0</v>
      </c>
      <c r="AM218" s="10">
        <v>338106.70748888521</v>
      </c>
      <c r="AN218" s="10">
        <v>0</v>
      </c>
      <c r="AO218" s="10">
        <v>355008.92918756511</v>
      </c>
      <c r="AP218" s="16">
        <f t="shared" si="4"/>
        <v>693115.63667645026</v>
      </c>
    </row>
    <row r="219" spans="1:42" x14ac:dyDescent="0.25">
      <c r="A219" s="6" t="s">
        <v>34</v>
      </c>
      <c r="B219" s="6" t="s">
        <v>18</v>
      </c>
      <c r="C219" s="6" t="s">
        <v>19</v>
      </c>
      <c r="D219" s="7" t="s">
        <v>20</v>
      </c>
      <c r="E219" s="7" t="s">
        <v>21</v>
      </c>
      <c r="F219" s="7" t="s">
        <v>22</v>
      </c>
      <c r="G219" s="7" t="s">
        <v>23</v>
      </c>
      <c r="H219" s="7" t="s">
        <v>35</v>
      </c>
      <c r="I219" s="6" t="s">
        <v>25</v>
      </c>
      <c r="J219" s="6"/>
      <c r="K219" s="6"/>
      <c r="L219" s="6" t="s">
        <v>111</v>
      </c>
      <c r="M219" s="10">
        <v>0</v>
      </c>
      <c r="N219" s="10">
        <v>0</v>
      </c>
      <c r="O219" s="10">
        <v>37791.670497730884</v>
      </c>
      <c r="P219" s="10">
        <v>29295.868602892162</v>
      </c>
      <c r="Q219" s="10">
        <v>0</v>
      </c>
      <c r="R219" s="10">
        <v>53391.720528770966</v>
      </c>
      <c r="S219" s="10">
        <v>29295.868602892162</v>
      </c>
      <c r="T219" s="10">
        <v>0</v>
      </c>
      <c r="U219" s="10">
        <v>37615.895286113533</v>
      </c>
      <c r="V219" s="10">
        <v>29295.868602892162</v>
      </c>
      <c r="W219" s="10">
        <v>0</v>
      </c>
      <c r="X219" s="10">
        <v>46975.925304737575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  <c r="AI219" s="10">
        <v>0</v>
      </c>
      <c r="AJ219" s="10">
        <v>0</v>
      </c>
      <c r="AK219" s="10">
        <v>263662.81742602942</v>
      </c>
      <c r="AL219" s="10">
        <v>0</v>
      </c>
      <c r="AM219" s="10">
        <v>0</v>
      </c>
      <c r="AN219" s="10">
        <v>5859173.7205784321</v>
      </c>
      <c r="AO219" s="10">
        <v>5859173.7205784321</v>
      </c>
      <c r="AP219" s="16">
        <f t="shared" si="4"/>
        <v>11982010.258582894</v>
      </c>
    </row>
    <row r="220" spans="1:42" x14ac:dyDescent="0.25">
      <c r="A220" s="6" t="s">
        <v>34</v>
      </c>
      <c r="B220" s="6" t="s">
        <v>18</v>
      </c>
      <c r="C220" s="6" t="s">
        <v>19</v>
      </c>
      <c r="D220" s="7" t="s">
        <v>20</v>
      </c>
      <c r="E220" s="7" t="s">
        <v>21</v>
      </c>
      <c r="F220" s="7" t="s">
        <v>22</v>
      </c>
      <c r="G220" s="7" t="s">
        <v>23</v>
      </c>
      <c r="H220" s="7" t="s">
        <v>35</v>
      </c>
      <c r="I220" s="6" t="s">
        <v>119</v>
      </c>
      <c r="J220" s="6"/>
      <c r="K220" s="6" t="s">
        <v>120</v>
      </c>
      <c r="L220" s="6" t="s">
        <v>121</v>
      </c>
      <c r="M220" s="10">
        <v>1019555.6108980855</v>
      </c>
      <c r="N220" s="10">
        <v>0</v>
      </c>
      <c r="O220" s="10">
        <v>509777.80544904276</v>
      </c>
      <c r="P220" s="10">
        <v>0</v>
      </c>
      <c r="Q220" s="10">
        <v>0</v>
      </c>
      <c r="R220" s="10">
        <v>509777.80544904276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1835200.0996165539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1019555.6108980855</v>
      </c>
      <c r="AF220" s="10">
        <v>0</v>
      </c>
      <c r="AG220" s="10">
        <v>0</v>
      </c>
      <c r="AH220" s="10">
        <v>0</v>
      </c>
      <c r="AI220" s="10">
        <v>0</v>
      </c>
      <c r="AJ220" s="10">
        <v>1019555.6108980855</v>
      </c>
      <c r="AK220" s="10">
        <v>2039111.221796171</v>
      </c>
      <c r="AL220" s="10">
        <v>3874311.3214127249</v>
      </c>
      <c r="AM220" s="10">
        <v>3568444.6381432991</v>
      </c>
      <c r="AN220" s="10">
        <v>0</v>
      </c>
      <c r="AO220" s="10">
        <v>0</v>
      </c>
      <c r="AP220" s="16">
        <f t="shared" si="4"/>
        <v>9481867.1813521944</v>
      </c>
    </row>
    <row r="221" spans="1:42" x14ac:dyDescent="0.25">
      <c r="A221" s="6" t="s">
        <v>34</v>
      </c>
      <c r="B221" s="6" t="s">
        <v>18</v>
      </c>
      <c r="C221" s="6" t="s">
        <v>19</v>
      </c>
      <c r="D221" s="7" t="s">
        <v>20</v>
      </c>
      <c r="E221" s="7" t="s">
        <v>21</v>
      </c>
      <c r="F221" s="7" t="s">
        <v>22</v>
      </c>
      <c r="G221" s="7" t="s">
        <v>23</v>
      </c>
      <c r="H221" s="7" t="s">
        <v>35</v>
      </c>
      <c r="I221" s="6" t="s">
        <v>119</v>
      </c>
      <c r="J221" s="6"/>
      <c r="K221" s="6" t="s">
        <v>120</v>
      </c>
      <c r="L221" s="6" t="s">
        <v>121</v>
      </c>
      <c r="M221" s="10">
        <v>0</v>
      </c>
      <c r="N221" s="10">
        <v>0</v>
      </c>
      <c r="O221" s="10">
        <v>155619.45607350502</v>
      </c>
      <c r="P221" s="10">
        <v>0</v>
      </c>
      <c r="Q221" s="10">
        <v>0</v>
      </c>
      <c r="R221" s="10">
        <v>155619.45607350502</v>
      </c>
      <c r="S221" s="10">
        <v>0</v>
      </c>
      <c r="T221" s="10">
        <v>0</v>
      </c>
      <c r="U221" s="10">
        <v>311238.91214701004</v>
      </c>
      <c r="V221" s="10">
        <v>0</v>
      </c>
      <c r="W221" s="10">
        <v>0</v>
      </c>
      <c r="X221" s="10">
        <v>0</v>
      </c>
      <c r="Y221" s="10">
        <v>622477.82429402007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311238.91214701004</v>
      </c>
      <c r="AF221" s="10">
        <v>0</v>
      </c>
      <c r="AG221" s="10">
        <v>0</v>
      </c>
      <c r="AH221" s="10">
        <v>0</v>
      </c>
      <c r="AI221" s="10">
        <v>0</v>
      </c>
      <c r="AJ221" s="10">
        <v>311238.91214701004</v>
      </c>
      <c r="AK221" s="10">
        <v>622477.82429402007</v>
      </c>
      <c r="AL221" s="10">
        <v>1244955.6485880401</v>
      </c>
      <c r="AM221" s="10">
        <v>1089336.1925145353</v>
      </c>
      <c r="AN221" s="10">
        <v>0</v>
      </c>
      <c r="AO221" s="10">
        <v>0</v>
      </c>
      <c r="AP221" s="16">
        <f t="shared" si="4"/>
        <v>2956769.6653965954</v>
      </c>
    </row>
    <row r="222" spans="1:42" x14ac:dyDescent="0.25">
      <c r="A222" s="6" t="s">
        <v>34</v>
      </c>
      <c r="B222" s="6" t="s">
        <v>18</v>
      </c>
      <c r="C222" s="6" t="s">
        <v>19</v>
      </c>
      <c r="D222" s="7" t="s">
        <v>20</v>
      </c>
      <c r="E222" s="7" t="s">
        <v>21</v>
      </c>
      <c r="F222" s="7" t="s">
        <v>22</v>
      </c>
      <c r="G222" s="7" t="s">
        <v>23</v>
      </c>
      <c r="H222" s="7" t="s">
        <v>35</v>
      </c>
      <c r="I222" s="6" t="s">
        <v>119</v>
      </c>
      <c r="J222" s="6"/>
      <c r="K222" s="6" t="s">
        <v>120</v>
      </c>
      <c r="L222" s="6" t="s">
        <v>121</v>
      </c>
      <c r="M222" s="10">
        <v>0</v>
      </c>
      <c r="N222" s="10">
        <v>0</v>
      </c>
      <c r="O222" s="10">
        <v>262167.68891572673</v>
      </c>
      <c r="P222" s="10">
        <v>0</v>
      </c>
      <c r="Q222" s="10">
        <v>0</v>
      </c>
      <c r="R222" s="10">
        <v>262167.68891572673</v>
      </c>
      <c r="S222" s="10">
        <v>0</v>
      </c>
      <c r="T222" s="10">
        <v>0</v>
      </c>
      <c r="U222" s="10">
        <v>524335.37783145346</v>
      </c>
      <c r="V222" s="10">
        <v>0</v>
      </c>
      <c r="W222" s="10">
        <v>0</v>
      </c>
      <c r="X222" s="10">
        <v>0</v>
      </c>
      <c r="Y222" s="10">
        <v>1048670.7556629069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524335.37783145346</v>
      </c>
      <c r="AF222" s="10">
        <v>0</v>
      </c>
      <c r="AG222" s="10">
        <v>0</v>
      </c>
      <c r="AH222" s="10">
        <v>0</v>
      </c>
      <c r="AI222" s="10">
        <v>0</v>
      </c>
      <c r="AJ222" s="10">
        <v>524335.37783145346</v>
      </c>
      <c r="AK222" s="10">
        <v>1048670.7556629069</v>
      </c>
      <c r="AL222" s="10">
        <v>2097341.5113258138</v>
      </c>
      <c r="AM222" s="10">
        <v>1835173.8224100878</v>
      </c>
      <c r="AN222" s="10">
        <v>0</v>
      </c>
      <c r="AO222" s="10">
        <v>0</v>
      </c>
      <c r="AP222" s="16">
        <f t="shared" si="4"/>
        <v>4981186.0893988088</v>
      </c>
    </row>
    <row r="223" spans="1:42" x14ac:dyDescent="0.25">
      <c r="A223" s="6" t="s">
        <v>34</v>
      </c>
      <c r="B223" s="6" t="s">
        <v>18</v>
      </c>
      <c r="C223" s="6" t="s">
        <v>19</v>
      </c>
      <c r="D223" s="7" t="s">
        <v>20</v>
      </c>
      <c r="E223" s="7" t="s">
        <v>21</v>
      </c>
      <c r="F223" s="7" t="s">
        <v>22</v>
      </c>
      <c r="G223" s="7" t="s">
        <v>23</v>
      </c>
      <c r="H223" s="7" t="s">
        <v>35</v>
      </c>
      <c r="I223" s="6" t="s">
        <v>119</v>
      </c>
      <c r="J223" s="6"/>
      <c r="K223" s="6" t="s">
        <v>120</v>
      </c>
      <c r="L223" s="6" t="s">
        <v>121</v>
      </c>
      <c r="M223" s="10">
        <v>0</v>
      </c>
      <c r="N223" s="10">
        <v>0</v>
      </c>
      <c r="O223" s="10">
        <v>0</v>
      </c>
      <c r="P223" s="10">
        <v>0</v>
      </c>
      <c r="Q223" s="10">
        <v>348318.97016077203</v>
      </c>
      <c r="R223" s="10">
        <v>174159.48508038602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870797.42540193012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348318.97016077203</v>
      </c>
      <c r="AF223" s="10">
        <v>0</v>
      </c>
      <c r="AG223" s="10">
        <v>0</v>
      </c>
      <c r="AH223" s="10">
        <v>0</v>
      </c>
      <c r="AI223" s="10">
        <v>0</v>
      </c>
      <c r="AJ223" s="10">
        <v>348318.97016077203</v>
      </c>
      <c r="AK223" s="10">
        <v>522478.45524115808</v>
      </c>
      <c r="AL223" s="10">
        <v>1567435.3657234742</v>
      </c>
      <c r="AM223" s="10">
        <v>1219116.3955627021</v>
      </c>
      <c r="AN223" s="10">
        <v>0</v>
      </c>
      <c r="AO223" s="10">
        <v>0</v>
      </c>
      <c r="AP223" s="16">
        <f t="shared" si="4"/>
        <v>3309030.2165273344</v>
      </c>
    </row>
    <row r="224" spans="1:42" x14ac:dyDescent="0.25">
      <c r="A224" s="6" t="s">
        <v>34</v>
      </c>
      <c r="B224" s="6" t="s">
        <v>18</v>
      </c>
      <c r="C224" s="6" t="s">
        <v>19</v>
      </c>
      <c r="D224" s="7" t="s">
        <v>20</v>
      </c>
      <c r="E224" s="7" t="s">
        <v>21</v>
      </c>
      <c r="F224" s="7" t="s">
        <v>22</v>
      </c>
      <c r="G224" s="7" t="s">
        <v>23</v>
      </c>
      <c r="H224" s="7" t="s">
        <v>35</v>
      </c>
      <c r="I224" s="6" t="s">
        <v>25</v>
      </c>
      <c r="J224" s="6"/>
      <c r="K224" s="6" t="s">
        <v>102</v>
      </c>
      <c r="L224" s="6" t="s">
        <v>103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0">
        <v>0</v>
      </c>
      <c r="AN224" s="10">
        <v>0</v>
      </c>
      <c r="AO224" s="10">
        <v>0</v>
      </c>
      <c r="AP224" s="16">
        <f t="shared" si="4"/>
        <v>0</v>
      </c>
    </row>
    <row r="225" spans="1:42" x14ac:dyDescent="0.25">
      <c r="A225" s="6" t="s">
        <v>34</v>
      </c>
      <c r="B225" s="6" t="s">
        <v>18</v>
      </c>
      <c r="C225" s="6" t="s">
        <v>112</v>
      </c>
      <c r="D225" s="7" t="s">
        <v>113</v>
      </c>
      <c r="E225" s="7" t="s">
        <v>21</v>
      </c>
      <c r="F225" s="7" t="s">
        <v>114</v>
      </c>
      <c r="G225" s="7" t="s">
        <v>23</v>
      </c>
      <c r="H225" s="7" t="s">
        <v>126</v>
      </c>
      <c r="I225" s="6" t="s">
        <v>116</v>
      </c>
      <c r="J225" s="6"/>
      <c r="K225" s="6" t="s">
        <v>122</v>
      </c>
      <c r="L225" s="6" t="s">
        <v>123</v>
      </c>
      <c r="M225" s="10">
        <v>108106.03667506481</v>
      </c>
      <c r="N225" s="10">
        <v>324318.11002519436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216212.07335012962</v>
      </c>
      <c r="X225" s="10">
        <v>162159.05501259718</v>
      </c>
      <c r="Y225" s="10">
        <v>0</v>
      </c>
      <c r="Z225" s="10">
        <v>216212.07335012962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  <c r="AI225" s="10">
        <v>0</v>
      </c>
      <c r="AJ225" s="10">
        <v>0</v>
      </c>
      <c r="AK225" s="10">
        <v>810795.27506298595</v>
      </c>
      <c r="AL225" s="10">
        <v>216212.07335012962</v>
      </c>
      <c r="AM225" s="10">
        <v>0</v>
      </c>
      <c r="AN225" s="10">
        <v>0</v>
      </c>
      <c r="AO225" s="10">
        <v>0</v>
      </c>
      <c r="AP225" s="16">
        <f t="shared" si="4"/>
        <v>1027007.3484131156</v>
      </c>
    </row>
    <row r="226" spans="1:42" x14ac:dyDescent="0.25">
      <c r="A226" s="6" t="s">
        <v>36</v>
      </c>
      <c r="B226" s="6" t="s">
        <v>18</v>
      </c>
      <c r="C226" s="6" t="s">
        <v>19</v>
      </c>
      <c r="D226" s="7" t="s">
        <v>20</v>
      </c>
      <c r="E226" s="7" t="s">
        <v>21</v>
      </c>
      <c r="F226" s="7" t="s">
        <v>22</v>
      </c>
      <c r="G226" s="7" t="s">
        <v>23</v>
      </c>
      <c r="H226" s="7" t="s">
        <v>37</v>
      </c>
      <c r="I226" s="6" t="s">
        <v>25</v>
      </c>
      <c r="J226" s="6"/>
      <c r="K226" s="6" t="s">
        <v>102</v>
      </c>
      <c r="L226" s="6" t="s">
        <v>103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0">
        <v>0</v>
      </c>
      <c r="AM226" s="10">
        <v>0</v>
      </c>
      <c r="AN226" s="10">
        <v>0</v>
      </c>
      <c r="AO226" s="10">
        <v>0</v>
      </c>
      <c r="AP226" s="16">
        <f t="shared" si="4"/>
        <v>0</v>
      </c>
    </row>
    <row r="227" spans="1:42" x14ac:dyDescent="0.25">
      <c r="A227" s="6" t="s">
        <v>38</v>
      </c>
      <c r="B227" s="6" t="s">
        <v>18</v>
      </c>
      <c r="C227" s="6" t="s">
        <v>19</v>
      </c>
      <c r="D227" s="7" t="s">
        <v>20</v>
      </c>
      <c r="E227" s="7" t="s">
        <v>21</v>
      </c>
      <c r="F227" s="7" t="s">
        <v>22</v>
      </c>
      <c r="G227" s="7" t="s">
        <v>23</v>
      </c>
      <c r="H227" s="7" t="s">
        <v>39</v>
      </c>
      <c r="I227" s="6" t="s">
        <v>25</v>
      </c>
      <c r="J227" s="6"/>
      <c r="K227" s="6" t="s">
        <v>102</v>
      </c>
      <c r="L227" s="6" t="s">
        <v>103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0">
        <v>0</v>
      </c>
      <c r="AM227" s="10">
        <v>0</v>
      </c>
      <c r="AN227" s="10">
        <v>0</v>
      </c>
      <c r="AO227" s="10">
        <v>0</v>
      </c>
      <c r="AP227" s="16">
        <f t="shared" si="4"/>
        <v>0</v>
      </c>
    </row>
    <row r="228" spans="1:42" x14ac:dyDescent="0.25">
      <c r="A228" s="6" t="s">
        <v>40</v>
      </c>
      <c r="B228" s="6" t="s">
        <v>18</v>
      </c>
      <c r="C228" s="6" t="s">
        <v>19</v>
      </c>
      <c r="D228" s="7" t="s">
        <v>20</v>
      </c>
      <c r="E228" s="7" t="s">
        <v>21</v>
      </c>
      <c r="F228" s="7" t="s">
        <v>22</v>
      </c>
      <c r="G228" s="7" t="s">
        <v>23</v>
      </c>
      <c r="H228" s="7" t="s">
        <v>41</v>
      </c>
      <c r="I228" s="6" t="s">
        <v>25</v>
      </c>
      <c r="J228" s="6"/>
      <c r="K228" s="6" t="s">
        <v>106</v>
      </c>
      <c r="L228" s="6" t="s">
        <v>107</v>
      </c>
      <c r="M228" s="10">
        <v>40434.118256700131</v>
      </c>
      <c r="N228" s="10">
        <v>0</v>
      </c>
      <c r="O228" s="10">
        <v>0</v>
      </c>
      <c r="P228" s="10">
        <v>40434.118256700131</v>
      </c>
      <c r="Q228" s="10">
        <v>0</v>
      </c>
      <c r="R228" s="10">
        <v>0</v>
      </c>
      <c r="S228" s="10">
        <v>0</v>
      </c>
      <c r="T228" s="10">
        <v>40434.118256700131</v>
      </c>
      <c r="U228" s="10">
        <v>0</v>
      </c>
      <c r="V228" s="10">
        <v>0</v>
      </c>
      <c r="W228" s="10">
        <v>0</v>
      </c>
      <c r="X228" s="10">
        <v>40434.118256700131</v>
      </c>
      <c r="Y228" s="10">
        <v>40434.118256700131</v>
      </c>
      <c r="Z228" s="10">
        <v>0</v>
      </c>
      <c r="AA228" s="10">
        <v>0</v>
      </c>
      <c r="AB228" s="10">
        <v>40434.118256700131</v>
      </c>
      <c r="AC228" s="10">
        <v>0</v>
      </c>
      <c r="AD228" s="10">
        <v>0</v>
      </c>
      <c r="AE228" s="10">
        <v>0</v>
      </c>
      <c r="AF228" s="10">
        <v>40434.118256700131</v>
      </c>
      <c r="AG228" s="10">
        <v>0</v>
      </c>
      <c r="AH228" s="10">
        <v>0</v>
      </c>
      <c r="AI228" s="10">
        <v>0</v>
      </c>
      <c r="AJ228" s="10">
        <v>40434.118256700131</v>
      </c>
      <c r="AK228" s="10">
        <v>161736.47302680052</v>
      </c>
      <c r="AL228" s="10">
        <v>161736.47302680052</v>
      </c>
      <c r="AM228" s="10">
        <v>161736.47302680052</v>
      </c>
      <c r="AN228" s="10">
        <v>161736.47302680052</v>
      </c>
      <c r="AO228" s="10">
        <v>161736.47302680052</v>
      </c>
      <c r="AP228" s="16">
        <f t="shared" si="4"/>
        <v>808682.36513400264</v>
      </c>
    </row>
    <row r="229" spans="1:42" x14ac:dyDescent="0.25">
      <c r="A229" s="6" t="s">
        <v>40</v>
      </c>
      <c r="B229" s="6" t="s">
        <v>18</v>
      </c>
      <c r="C229" s="6" t="s">
        <v>19</v>
      </c>
      <c r="D229" s="7" t="s">
        <v>20</v>
      </c>
      <c r="E229" s="7" t="s">
        <v>21</v>
      </c>
      <c r="F229" s="7" t="s">
        <v>22</v>
      </c>
      <c r="G229" s="7" t="s">
        <v>23</v>
      </c>
      <c r="H229" s="7" t="s">
        <v>41</v>
      </c>
      <c r="I229" s="6" t="s">
        <v>25</v>
      </c>
      <c r="J229" s="6"/>
      <c r="K229" s="6"/>
      <c r="L229" s="6" t="s">
        <v>127</v>
      </c>
      <c r="M229" s="10">
        <v>118313.66151545425</v>
      </c>
      <c r="N229" s="10">
        <v>0</v>
      </c>
      <c r="O229" s="10">
        <v>236627.31313365558</v>
      </c>
      <c r="P229" s="10">
        <v>283952.77971928788</v>
      </c>
      <c r="Q229" s="10">
        <v>123715.6613297811</v>
      </c>
      <c r="R229" s="10">
        <v>0</v>
      </c>
      <c r="S229" s="10">
        <v>123715.6613297811</v>
      </c>
      <c r="T229" s="10">
        <v>0</v>
      </c>
      <c r="U229" s="10">
        <v>123715.6613297811</v>
      </c>
      <c r="V229" s="10">
        <v>0</v>
      </c>
      <c r="W229" s="10">
        <v>123715.6613297811</v>
      </c>
      <c r="X229" s="10">
        <v>118313.66151545425</v>
      </c>
      <c r="Y229" s="10">
        <v>214004.18233749946</v>
      </c>
      <c r="Z229" s="10">
        <v>123715.6613297811</v>
      </c>
      <c r="AA229" s="10">
        <v>123715.6613297811</v>
      </c>
      <c r="AB229" s="10">
        <v>164618.60255940366</v>
      </c>
      <c r="AC229" s="10">
        <v>82309.306228328278</v>
      </c>
      <c r="AD229" s="10">
        <v>329237.21501606022</v>
      </c>
      <c r="AE229" s="10">
        <v>123715.6613297811</v>
      </c>
      <c r="AF229" s="10">
        <v>123715.6613297811</v>
      </c>
      <c r="AG229" s="10">
        <v>0</v>
      </c>
      <c r="AH229" s="10">
        <v>0</v>
      </c>
      <c r="AI229" s="10">
        <v>0</v>
      </c>
      <c r="AJ229" s="10">
        <v>0</v>
      </c>
      <c r="AK229" s="10">
        <v>1252070.0612029762</v>
      </c>
      <c r="AL229" s="10">
        <v>1285031.951460416</v>
      </c>
      <c r="AM229" s="10">
        <v>1046379.7197656319</v>
      </c>
      <c r="AN229" s="10">
        <v>0</v>
      </c>
      <c r="AO229" s="10">
        <v>0</v>
      </c>
      <c r="AP229" s="16">
        <f t="shared" si="4"/>
        <v>3583481.7324290243</v>
      </c>
    </row>
    <row r="230" spans="1:42" x14ac:dyDescent="0.25">
      <c r="A230" s="6" t="s">
        <v>40</v>
      </c>
      <c r="B230" s="6" t="s">
        <v>18</v>
      </c>
      <c r="C230" s="6" t="s">
        <v>19</v>
      </c>
      <c r="D230" s="7" t="s">
        <v>20</v>
      </c>
      <c r="E230" s="7" t="s">
        <v>21</v>
      </c>
      <c r="F230" s="7" t="s">
        <v>22</v>
      </c>
      <c r="G230" s="7" t="s">
        <v>23</v>
      </c>
      <c r="H230" s="7" t="s">
        <v>41</v>
      </c>
      <c r="I230" s="6" t="s">
        <v>25</v>
      </c>
      <c r="J230" s="6"/>
      <c r="K230" s="6" t="s">
        <v>102</v>
      </c>
      <c r="L230" s="6" t="s">
        <v>103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  <c r="AI230" s="10">
        <v>0</v>
      </c>
      <c r="AJ230" s="10">
        <v>0</v>
      </c>
      <c r="AK230" s="10">
        <v>0</v>
      </c>
      <c r="AL230" s="10">
        <v>0</v>
      </c>
      <c r="AM230" s="10">
        <v>0</v>
      </c>
      <c r="AN230" s="10">
        <v>0</v>
      </c>
      <c r="AO230" s="10">
        <v>0</v>
      </c>
      <c r="AP230" s="16">
        <f t="shared" si="4"/>
        <v>0</v>
      </c>
    </row>
    <row r="231" spans="1:42" x14ac:dyDescent="0.25">
      <c r="A231" s="6" t="s">
        <v>58</v>
      </c>
      <c r="B231" s="6" t="s">
        <v>18</v>
      </c>
      <c r="C231" s="6" t="s">
        <v>19</v>
      </c>
      <c r="D231" s="7" t="s">
        <v>20</v>
      </c>
      <c r="E231" s="7" t="s">
        <v>21</v>
      </c>
      <c r="F231" s="7" t="s">
        <v>22</v>
      </c>
      <c r="G231" s="7" t="s">
        <v>23</v>
      </c>
      <c r="H231" s="7" t="s">
        <v>59</v>
      </c>
      <c r="I231" s="6" t="s">
        <v>25</v>
      </c>
      <c r="J231" s="6"/>
      <c r="K231" s="6" t="s">
        <v>102</v>
      </c>
      <c r="L231" s="6" t="s">
        <v>103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0">
        <v>0</v>
      </c>
      <c r="AM231" s="10">
        <v>0</v>
      </c>
      <c r="AN231" s="10">
        <v>0</v>
      </c>
      <c r="AO231" s="10">
        <v>0</v>
      </c>
      <c r="AP231" s="16">
        <f t="shared" si="4"/>
        <v>0</v>
      </c>
    </row>
    <row r="232" spans="1:42" x14ac:dyDescent="0.25">
      <c r="A232" s="6" t="s">
        <v>42</v>
      </c>
      <c r="B232" s="6" t="s">
        <v>18</v>
      </c>
      <c r="C232" s="6" t="s">
        <v>62</v>
      </c>
      <c r="D232" s="7" t="s">
        <v>63</v>
      </c>
      <c r="E232" s="7" t="s">
        <v>21</v>
      </c>
      <c r="F232" s="7" t="s">
        <v>64</v>
      </c>
      <c r="G232" s="7" t="s">
        <v>23</v>
      </c>
      <c r="H232" s="7" t="s">
        <v>128</v>
      </c>
      <c r="I232" s="6" t="s">
        <v>129</v>
      </c>
      <c r="J232" s="6"/>
      <c r="K232" s="6" t="s">
        <v>130</v>
      </c>
      <c r="L232" s="6" t="s">
        <v>131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623427.96057303285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623427.96057303285</v>
      </c>
      <c r="AL232" s="10">
        <v>0</v>
      </c>
      <c r="AM232" s="10">
        <v>0</v>
      </c>
      <c r="AN232" s="10">
        <v>0</v>
      </c>
      <c r="AO232" s="10">
        <v>0</v>
      </c>
      <c r="AP232" s="16">
        <f t="shared" si="4"/>
        <v>623427.96057303285</v>
      </c>
    </row>
    <row r="233" spans="1:42" x14ac:dyDescent="0.25">
      <c r="A233" s="6" t="s">
        <v>42</v>
      </c>
      <c r="B233" s="6" t="s">
        <v>18</v>
      </c>
      <c r="C233" s="6" t="s">
        <v>19</v>
      </c>
      <c r="D233" s="7" t="s">
        <v>20</v>
      </c>
      <c r="E233" s="7" t="s">
        <v>21</v>
      </c>
      <c r="F233" s="7" t="s">
        <v>22</v>
      </c>
      <c r="G233" s="7" t="s">
        <v>23</v>
      </c>
      <c r="H233" s="7" t="s">
        <v>43</v>
      </c>
      <c r="I233" s="6" t="s">
        <v>25</v>
      </c>
      <c r="J233" s="6"/>
      <c r="K233" s="6"/>
      <c r="L233" s="6" t="s">
        <v>132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722449.66908654943</v>
      </c>
      <c r="S233" s="10">
        <v>101020.95360060595</v>
      </c>
      <c r="T233" s="10">
        <v>101020.95360060595</v>
      </c>
      <c r="U233" s="10">
        <v>101020.95360060595</v>
      </c>
      <c r="V233" s="10">
        <v>101020.95360060595</v>
      </c>
      <c r="W233" s="10">
        <v>101020.95360060595</v>
      </c>
      <c r="X233" s="10">
        <v>101020.95360060595</v>
      </c>
      <c r="Y233" s="10">
        <v>101020.95360060595</v>
      </c>
      <c r="Z233" s="10">
        <v>101020.95360060595</v>
      </c>
      <c r="AA233" s="10">
        <v>101020.95360060595</v>
      </c>
      <c r="AB233" s="10">
        <v>101020.95360060595</v>
      </c>
      <c r="AC233" s="10">
        <v>101020.95360060595</v>
      </c>
      <c r="AD233" s="10">
        <v>0</v>
      </c>
      <c r="AE233" s="10">
        <v>27367.141442760872</v>
      </c>
      <c r="AF233" s="10">
        <v>27367.141442760872</v>
      </c>
      <c r="AG233" s="10">
        <v>0</v>
      </c>
      <c r="AH233" s="10">
        <v>0</v>
      </c>
      <c r="AI233" s="10">
        <v>0</v>
      </c>
      <c r="AJ233" s="10">
        <v>0</v>
      </c>
      <c r="AK233" s="10">
        <v>1328575.3906901847</v>
      </c>
      <c r="AL233" s="10">
        <v>559839.0508885514</v>
      </c>
      <c r="AM233" s="10">
        <v>0</v>
      </c>
      <c r="AN233" s="10">
        <v>0</v>
      </c>
      <c r="AO233" s="10">
        <v>0</v>
      </c>
      <c r="AP233" s="16">
        <f t="shared" si="4"/>
        <v>1888414.4415787361</v>
      </c>
    </row>
    <row r="234" spans="1:42" x14ac:dyDescent="0.25">
      <c r="A234" s="6" t="s">
        <v>42</v>
      </c>
      <c r="B234" s="6" t="s">
        <v>18</v>
      </c>
      <c r="C234" s="6" t="s">
        <v>19</v>
      </c>
      <c r="D234" s="7" t="s">
        <v>20</v>
      </c>
      <c r="E234" s="7" t="s">
        <v>21</v>
      </c>
      <c r="F234" s="7" t="s">
        <v>22</v>
      </c>
      <c r="G234" s="7" t="s">
        <v>23</v>
      </c>
      <c r="H234" s="7" t="s">
        <v>43</v>
      </c>
      <c r="I234" s="6" t="s">
        <v>87</v>
      </c>
      <c r="J234" s="6"/>
      <c r="K234" s="6" t="s">
        <v>133</v>
      </c>
      <c r="L234" s="6" t="s">
        <v>134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95455.213634195941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  <c r="AI234" s="10">
        <v>0</v>
      </c>
      <c r="AJ234" s="10">
        <v>0</v>
      </c>
      <c r="AK234" s="10">
        <v>95455.213634195941</v>
      </c>
      <c r="AL234" s="10">
        <v>0</v>
      </c>
      <c r="AM234" s="10">
        <v>0</v>
      </c>
      <c r="AN234" s="10">
        <v>0</v>
      </c>
      <c r="AO234" s="10">
        <v>0</v>
      </c>
      <c r="AP234" s="16">
        <f t="shared" si="4"/>
        <v>95455.213634195941</v>
      </c>
    </row>
    <row r="235" spans="1:42" x14ac:dyDescent="0.25">
      <c r="A235" s="6" t="s">
        <v>42</v>
      </c>
      <c r="B235" s="6" t="s">
        <v>18</v>
      </c>
      <c r="C235" s="6" t="s">
        <v>19</v>
      </c>
      <c r="D235" s="7" t="s">
        <v>20</v>
      </c>
      <c r="E235" s="7" t="s">
        <v>21</v>
      </c>
      <c r="F235" s="7" t="s">
        <v>22</v>
      </c>
      <c r="G235" s="7" t="s">
        <v>23</v>
      </c>
      <c r="H235" s="7" t="s">
        <v>43</v>
      </c>
      <c r="I235" s="6" t="s">
        <v>25</v>
      </c>
      <c r="J235" s="6"/>
      <c r="K235" s="6" t="s">
        <v>102</v>
      </c>
      <c r="L235" s="6" t="s">
        <v>103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  <c r="AL235" s="10">
        <v>0</v>
      </c>
      <c r="AM235" s="10">
        <v>0</v>
      </c>
      <c r="AN235" s="10">
        <v>0</v>
      </c>
      <c r="AO235" s="10">
        <v>0</v>
      </c>
      <c r="AP235" s="16">
        <f t="shared" si="4"/>
        <v>0</v>
      </c>
    </row>
    <row r="236" spans="1:42" x14ac:dyDescent="0.25">
      <c r="A236" s="6" t="s">
        <v>28</v>
      </c>
      <c r="B236" s="6" t="s">
        <v>18</v>
      </c>
      <c r="C236" s="6" t="s">
        <v>19</v>
      </c>
      <c r="D236" s="7" t="s">
        <v>20</v>
      </c>
      <c r="E236" s="7" t="s">
        <v>21</v>
      </c>
      <c r="F236" s="7" t="s">
        <v>22</v>
      </c>
      <c r="G236" s="7" t="s">
        <v>23</v>
      </c>
      <c r="H236" s="7" t="s">
        <v>29</v>
      </c>
      <c r="I236" s="6" t="s">
        <v>25</v>
      </c>
      <c r="J236" s="6"/>
      <c r="K236" s="6"/>
      <c r="L236" s="6" t="s">
        <v>135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0">
        <v>0</v>
      </c>
      <c r="AN236" s="10">
        <v>885705.16259216866</v>
      </c>
      <c r="AO236" s="10">
        <v>1342542.5622449715</v>
      </c>
      <c r="AP236" s="16">
        <f t="shared" si="4"/>
        <v>2228247.7248371402</v>
      </c>
    </row>
    <row r="237" spans="1:42" x14ac:dyDescent="0.25">
      <c r="A237" s="6" t="s">
        <v>30</v>
      </c>
      <c r="B237" s="6" t="s">
        <v>18</v>
      </c>
      <c r="C237" s="6" t="s">
        <v>19</v>
      </c>
      <c r="D237" s="7" t="s">
        <v>20</v>
      </c>
      <c r="E237" s="7" t="s">
        <v>21</v>
      </c>
      <c r="F237" s="7" t="s">
        <v>22</v>
      </c>
      <c r="G237" s="7" t="s">
        <v>23</v>
      </c>
      <c r="H237" s="7" t="s">
        <v>31</v>
      </c>
      <c r="I237" s="6" t="s">
        <v>25</v>
      </c>
      <c r="J237" s="6"/>
      <c r="K237" s="6"/>
      <c r="L237" s="6" t="s">
        <v>135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  <c r="AI237" s="10">
        <v>0</v>
      </c>
      <c r="AJ237" s="10">
        <v>0</v>
      </c>
      <c r="AK237" s="10">
        <v>0</v>
      </c>
      <c r="AL237" s="10">
        <v>0</v>
      </c>
      <c r="AM237" s="10">
        <v>0</v>
      </c>
      <c r="AN237" s="10">
        <v>347888.43965934438</v>
      </c>
      <c r="AO237" s="10">
        <v>527325.63485205884</v>
      </c>
      <c r="AP237" s="16">
        <f t="shared" si="4"/>
        <v>875214.07451140322</v>
      </c>
    </row>
    <row r="238" spans="1:42" x14ac:dyDescent="0.25">
      <c r="A238" s="6" t="s">
        <v>32</v>
      </c>
      <c r="B238" s="6" t="s">
        <v>18</v>
      </c>
      <c r="C238" s="6" t="s">
        <v>19</v>
      </c>
      <c r="D238" s="7" t="s">
        <v>20</v>
      </c>
      <c r="E238" s="7" t="s">
        <v>21</v>
      </c>
      <c r="F238" s="7" t="s">
        <v>22</v>
      </c>
      <c r="G238" s="7" t="s">
        <v>23</v>
      </c>
      <c r="H238" s="7" t="s">
        <v>33</v>
      </c>
      <c r="I238" s="6" t="s">
        <v>25</v>
      </c>
      <c r="J238" s="6"/>
      <c r="K238" s="6"/>
      <c r="L238" s="6" t="s">
        <v>135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0">
        <v>0</v>
      </c>
      <c r="AM238" s="10">
        <v>0</v>
      </c>
      <c r="AN238" s="10">
        <v>90262.946506208275</v>
      </c>
      <c r="AO238" s="10">
        <v>136819.62417783149</v>
      </c>
      <c r="AP238" s="16">
        <f t="shared" si="4"/>
        <v>227082.57068403976</v>
      </c>
    </row>
    <row r="239" spans="1:42" x14ac:dyDescent="0.25">
      <c r="A239" s="6" t="s">
        <v>34</v>
      </c>
      <c r="B239" s="6" t="s">
        <v>18</v>
      </c>
      <c r="C239" s="6" t="s">
        <v>19</v>
      </c>
      <c r="D239" s="7" t="s">
        <v>20</v>
      </c>
      <c r="E239" s="7" t="s">
        <v>21</v>
      </c>
      <c r="F239" s="7" t="s">
        <v>22</v>
      </c>
      <c r="G239" s="7" t="s">
        <v>23</v>
      </c>
      <c r="H239" s="7" t="s">
        <v>35</v>
      </c>
      <c r="I239" s="6" t="s">
        <v>25</v>
      </c>
      <c r="J239" s="6"/>
      <c r="K239" s="6"/>
      <c r="L239" s="6" t="s">
        <v>135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556621.50345495099</v>
      </c>
      <c r="AO239" s="10">
        <v>843721.01576329418</v>
      </c>
      <c r="AP239" s="16">
        <f t="shared" si="4"/>
        <v>1400342.5192182451</v>
      </c>
    </row>
    <row r="240" spans="1:42" x14ac:dyDescent="0.25">
      <c r="A240" s="6" t="s">
        <v>28</v>
      </c>
      <c r="B240" s="6" t="s">
        <v>18</v>
      </c>
      <c r="C240" s="6" t="s">
        <v>19</v>
      </c>
      <c r="D240" s="7" t="s">
        <v>20</v>
      </c>
      <c r="E240" s="7" t="s">
        <v>21</v>
      </c>
      <c r="F240" s="7" t="s">
        <v>22</v>
      </c>
      <c r="G240" s="7" t="s">
        <v>23</v>
      </c>
      <c r="H240" s="7" t="s">
        <v>29</v>
      </c>
      <c r="I240" s="6" t="s">
        <v>25</v>
      </c>
      <c r="J240" s="6"/>
      <c r="K240" s="6"/>
      <c r="L240" s="6" t="s">
        <v>136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170799.1411507556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170799.1411507556</v>
      </c>
      <c r="AL240" s="10">
        <v>0</v>
      </c>
      <c r="AM240" s="10">
        <v>0</v>
      </c>
      <c r="AN240" s="10">
        <v>0</v>
      </c>
      <c r="AO240" s="10">
        <v>0</v>
      </c>
      <c r="AP240" s="16">
        <f t="shared" si="4"/>
        <v>170799.1411507556</v>
      </c>
    </row>
    <row r="241" spans="1:42" x14ac:dyDescent="0.25">
      <c r="A241" s="6" t="s">
        <v>30</v>
      </c>
      <c r="B241" s="6" t="s">
        <v>18</v>
      </c>
      <c r="C241" s="6" t="s">
        <v>19</v>
      </c>
      <c r="D241" s="7" t="s">
        <v>20</v>
      </c>
      <c r="E241" s="7" t="s">
        <v>21</v>
      </c>
      <c r="F241" s="7" t="s">
        <v>22</v>
      </c>
      <c r="G241" s="7" t="s">
        <v>23</v>
      </c>
      <c r="H241" s="7" t="s">
        <v>31</v>
      </c>
      <c r="I241" s="6" t="s">
        <v>25</v>
      </c>
      <c r="J241" s="6"/>
      <c r="K241" s="6"/>
      <c r="L241" s="6" t="s">
        <v>136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67086.711492335016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  <c r="AI241" s="10">
        <v>0</v>
      </c>
      <c r="AJ241" s="10">
        <v>0</v>
      </c>
      <c r="AK241" s="10">
        <v>67086.711492335016</v>
      </c>
      <c r="AL241" s="10">
        <v>0</v>
      </c>
      <c r="AM241" s="10">
        <v>0</v>
      </c>
      <c r="AN241" s="10">
        <v>0</v>
      </c>
      <c r="AO241" s="10">
        <v>0</v>
      </c>
      <c r="AP241" s="16">
        <f t="shared" si="4"/>
        <v>67086.711492335016</v>
      </c>
    </row>
    <row r="242" spans="1:42" x14ac:dyDescent="0.25">
      <c r="A242" s="6" t="s">
        <v>32</v>
      </c>
      <c r="B242" s="6" t="s">
        <v>18</v>
      </c>
      <c r="C242" s="6" t="s">
        <v>19</v>
      </c>
      <c r="D242" s="7" t="s">
        <v>20</v>
      </c>
      <c r="E242" s="7" t="s">
        <v>21</v>
      </c>
      <c r="F242" s="7" t="s">
        <v>22</v>
      </c>
      <c r="G242" s="7" t="s">
        <v>23</v>
      </c>
      <c r="H242" s="7" t="s">
        <v>33</v>
      </c>
      <c r="I242" s="6" t="s">
        <v>25</v>
      </c>
      <c r="J242" s="6"/>
      <c r="K242" s="6"/>
      <c r="L242" s="6" t="s">
        <v>136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17406.281900713948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  <c r="AI242" s="10">
        <v>0</v>
      </c>
      <c r="AJ242" s="10">
        <v>0</v>
      </c>
      <c r="AK242" s="10">
        <v>17406.281900713948</v>
      </c>
      <c r="AL242" s="10">
        <v>0</v>
      </c>
      <c r="AM242" s="10">
        <v>0</v>
      </c>
      <c r="AN242" s="10">
        <v>0</v>
      </c>
      <c r="AO242" s="10">
        <v>0</v>
      </c>
      <c r="AP242" s="16">
        <f t="shared" si="4"/>
        <v>17406.281900713948</v>
      </c>
    </row>
    <row r="243" spans="1:42" x14ac:dyDescent="0.25">
      <c r="A243" s="6" t="s">
        <v>34</v>
      </c>
      <c r="B243" s="6" t="s">
        <v>18</v>
      </c>
      <c r="C243" s="6" t="s">
        <v>19</v>
      </c>
      <c r="D243" s="7" t="s">
        <v>20</v>
      </c>
      <c r="E243" s="7" t="s">
        <v>21</v>
      </c>
      <c r="F243" s="7" t="s">
        <v>22</v>
      </c>
      <c r="G243" s="7" t="s">
        <v>23</v>
      </c>
      <c r="H243" s="7" t="s">
        <v>35</v>
      </c>
      <c r="I243" s="6" t="s">
        <v>25</v>
      </c>
      <c r="J243" s="6"/>
      <c r="K243" s="6"/>
      <c r="L243" s="6" t="s">
        <v>136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107338.73838773601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  <c r="AI243" s="10">
        <v>0</v>
      </c>
      <c r="AJ243" s="10">
        <v>0</v>
      </c>
      <c r="AK243" s="10">
        <v>107338.73838773601</v>
      </c>
      <c r="AL243" s="10">
        <v>0</v>
      </c>
      <c r="AM243" s="10">
        <v>0</v>
      </c>
      <c r="AN243" s="10">
        <v>0</v>
      </c>
      <c r="AO243" s="10">
        <v>0</v>
      </c>
      <c r="AP243" s="16">
        <f t="shared" si="4"/>
        <v>107338.73838773601</v>
      </c>
    </row>
    <row r="244" spans="1:42" x14ac:dyDescent="0.25">
      <c r="A244" s="6" t="s">
        <v>42</v>
      </c>
      <c r="B244" s="6" t="s">
        <v>18</v>
      </c>
      <c r="C244" s="6" t="s">
        <v>19</v>
      </c>
      <c r="D244" s="7" t="s">
        <v>20</v>
      </c>
      <c r="E244" s="7" t="s">
        <v>21</v>
      </c>
      <c r="F244" s="7" t="s">
        <v>22</v>
      </c>
      <c r="G244" s="7" t="s">
        <v>23</v>
      </c>
      <c r="H244" s="7" t="s">
        <v>43</v>
      </c>
      <c r="I244" s="6" t="s">
        <v>25</v>
      </c>
      <c r="J244" s="6"/>
      <c r="K244" s="6"/>
      <c r="L244" s="6" t="s">
        <v>137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356306.52832436218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  <c r="AI244" s="10">
        <v>0</v>
      </c>
      <c r="AJ244" s="10">
        <v>0</v>
      </c>
      <c r="AK244" s="10">
        <v>356306.52832436218</v>
      </c>
      <c r="AL244" s="10">
        <v>0</v>
      </c>
      <c r="AM244" s="10">
        <v>0</v>
      </c>
      <c r="AN244" s="10">
        <v>0</v>
      </c>
      <c r="AO244" s="10">
        <v>0</v>
      </c>
      <c r="AP244" s="16">
        <f t="shared" si="4"/>
        <v>356306.52832436218</v>
      </c>
    </row>
    <row r="245" spans="1:42" x14ac:dyDescent="0.25">
      <c r="A245" s="6" t="s">
        <v>42</v>
      </c>
      <c r="B245" s="6" t="s">
        <v>18</v>
      </c>
      <c r="C245" s="6" t="s">
        <v>19</v>
      </c>
      <c r="D245" s="7" t="s">
        <v>20</v>
      </c>
      <c r="E245" s="7" t="s">
        <v>21</v>
      </c>
      <c r="F245" s="7" t="s">
        <v>22</v>
      </c>
      <c r="G245" s="7" t="s">
        <v>23</v>
      </c>
      <c r="H245" s="7" t="s">
        <v>43</v>
      </c>
      <c r="I245" s="6" t="s">
        <v>25</v>
      </c>
      <c r="J245" s="6"/>
      <c r="K245" s="6"/>
      <c r="L245" s="19" t="s">
        <v>138</v>
      </c>
      <c r="M245" s="10">
        <v>0</v>
      </c>
      <c r="N245" s="10">
        <v>0</v>
      </c>
      <c r="O245" s="10">
        <v>155619.45607350502</v>
      </c>
      <c r="P245" s="10">
        <v>0</v>
      </c>
      <c r="Q245" s="10">
        <v>0</v>
      </c>
      <c r="R245" s="10">
        <v>155619.45607350502</v>
      </c>
      <c r="S245" s="10">
        <v>0</v>
      </c>
      <c r="T245" s="10">
        <v>0</v>
      </c>
      <c r="U245" s="10">
        <v>311238.91214701004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  <c r="AI245" s="10">
        <v>0</v>
      </c>
      <c r="AJ245" s="10">
        <v>0</v>
      </c>
      <c r="AK245" s="10">
        <v>622477.82429402007</v>
      </c>
      <c r="AL245" s="10">
        <v>0</v>
      </c>
      <c r="AM245" s="10">
        <v>0</v>
      </c>
      <c r="AN245" s="10">
        <v>0</v>
      </c>
      <c r="AO245" s="10">
        <v>0</v>
      </c>
      <c r="AP245" s="16">
        <f t="shared" si="4"/>
        <v>622477.82429402007</v>
      </c>
    </row>
    <row r="246" spans="1:42" x14ac:dyDescent="0.25">
      <c r="A246" s="6" t="s">
        <v>17</v>
      </c>
      <c r="B246" s="6" t="s">
        <v>18</v>
      </c>
      <c r="C246" s="6" t="s">
        <v>139</v>
      </c>
      <c r="D246" s="7" t="s">
        <v>140</v>
      </c>
      <c r="E246" s="7" t="s">
        <v>21</v>
      </c>
      <c r="F246" s="7" t="s">
        <v>141</v>
      </c>
      <c r="G246" s="7" t="s">
        <v>23</v>
      </c>
      <c r="H246" s="7" t="s">
        <v>142</v>
      </c>
      <c r="I246" s="6" t="s">
        <v>143</v>
      </c>
      <c r="J246" s="6"/>
      <c r="K246" s="6"/>
      <c r="L246" s="19" t="s">
        <v>144</v>
      </c>
      <c r="M246" s="10">
        <v>0</v>
      </c>
      <c r="N246" s="10">
        <v>0</v>
      </c>
      <c r="O246" s="10">
        <v>0</v>
      </c>
      <c r="P246" s="10">
        <v>0</v>
      </c>
      <c r="Q246" s="10">
        <v>2288.7397346009502</v>
      </c>
      <c r="R246" s="10">
        <v>0</v>
      </c>
      <c r="S246" s="10">
        <v>0</v>
      </c>
      <c r="T246" s="10">
        <v>0</v>
      </c>
      <c r="U246" s="10">
        <v>0</v>
      </c>
      <c r="V246" s="10">
        <v>2288.7397346009502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4577.4794692019004</v>
      </c>
      <c r="AL246" s="10">
        <v>0</v>
      </c>
      <c r="AM246" s="10">
        <v>0</v>
      </c>
      <c r="AN246" s="10">
        <v>0</v>
      </c>
      <c r="AO246" s="10">
        <v>0</v>
      </c>
      <c r="AP246" s="16">
        <f t="shared" si="4"/>
        <v>4577.4794692019004</v>
      </c>
    </row>
    <row r="247" spans="1:42" x14ac:dyDescent="0.25">
      <c r="A247" s="6" t="s">
        <v>28</v>
      </c>
      <c r="B247" s="6" t="s">
        <v>18</v>
      </c>
      <c r="C247" s="6" t="s">
        <v>139</v>
      </c>
      <c r="D247" s="7" t="s">
        <v>140</v>
      </c>
      <c r="E247" s="7" t="s">
        <v>21</v>
      </c>
      <c r="F247" s="7" t="s">
        <v>141</v>
      </c>
      <c r="G247" s="7" t="s">
        <v>23</v>
      </c>
      <c r="H247" s="7" t="s">
        <v>145</v>
      </c>
      <c r="I247" s="6" t="s">
        <v>143</v>
      </c>
      <c r="J247" s="6"/>
      <c r="K247" s="6"/>
      <c r="L247" s="19" t="s">
        <v>144</v>
      </c>
      <c r="M247" s="10">
        <v>0</v>
      </c>
      <c r="N247" s="10">
        <v>0</v>
      </c>
      <c r="O247" s="10">
        <v>0</v>
      </c>
      <c r="P247" s="10">
        <v>0</v>
      </c>
      <c r="Q247" s="10">
        <v>57676.241311943937</v>
      </c>
      <c r="R247" s="10">
        <v>0</v>
      </c>
      <c r="S247" s="10">
        <v>0</v>
      </c>
      <c r="T247" s="10">
        <v>0</v>
      </c>
      <c r="U247" s="10">
        <v>0</v>
      </c>
      <c r="V247" s="10">
        <v>57676.241311943937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10">
        <v>115352.48262388787</v>
      </c>
      <c r="AL247" s="10">
        <v>0</v>
      </c>
      <c r="AM247" s="10">
        <v>0</v>
      </c>
      <c r="AN247" s="10">
        <v>0</v>
      </c>
      <c r="AO247" s="10">
        <v>0</v>
      </c>
      <c r="AP247" s="16">
        <f t="shared" si="4"/>
        <v>115352.48262388787</v>
      </c>
    </row>
    <row r="248" spans="1:42" x14ac:dyDescent="0.25">
      <c r="A248" s="6" t="s">
        <v>30</v>
      </c>
      <c r="B248" s="6" t="s">
        <v>18</v>
      </c>
      <c r="C248" s="6" t="s">
        <v>139</v>
      </c>
      <c r="D248" s="7" t="s">
        <v>140</v>
      </c>
      <c r="E248" s="7" t="s">
        <v>21</v>
      </c>
      <c r="F248" s="7" t="s">
        <v>141</v>
      </c>
      <c r="G248" s="7" t="s">
        <v>23</v>
      </c>
      <c r="H248" s="7" t="s">
        <v>146</v>
      </c>
      <c r="I248" s="6" t="s">
        <v>143</v>
      </c>
      <c r="J248" s="6"/>
      <c r="K248" s="6"/>
      <c r="L248" s="6" t="s">
        <v>144</v>
      </c>
      <c r="M248" s="10">
        <v>0</v>
      </c>
      <c r="N248" s="10">
        <v>0</v>
      </c>
      <c r="O248" s="10">
        <v>0</v>
      </c>
      <c r="P248" s="10">
        <v>0</v>
      </c>
      <c r="Q248" s="10">
        <v>21056.405558328741</v>
      </c>
      <c r="R248" s="10">
        <v>0</v>
      </c>
      <c r="S248" s="10">
        <v>0</v>
      </c>
      <c r="T248" s="10">
        <v>0</v>
      </c>
      <c r="U248" s="10">
        <v>0</v>
      </c>
      <c r="V248" s="10">
        <v>21056.405558328741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42112.811116657482</v>
      </c>
      <c r="AL248" s="10">
        <v>0</v>
      </c>
      <c r="AM248" s="10">
        <v>0</v>
      </c>
      <c r="AN248" s="10">
        <v>0</v>
      </c>
      <c r="AO248" s="10">
        <v>0</v>
      </c>
      <c r="AP248" s="16">
        <f t="shared" si="4"/>
        <v>42112.811116657482</v>
      </c>
    </row>
    <row r="249" spans="1:42" x14ac:dyDescent="0.25">
      <c r="A249" s="6" t="s">
        <v>32</v>
      </c>
      <c r="B249" s="6" t="s">
        <v>18</v>
      </c>
      <c r="C249" s="6" t="s">
        <v>139</v>
      </c>
      <c r="D249" s="7" t="s">
        <v>140</v>
      </c>
      <c r="E249" s="7" t="s">
        <v>21</v>
      </c>
      <c r="F249" s="7" t="s">
        <v>141</v>
      </c>
      <c r="G249" s="7" t="s">
        <v>23</v>
      </c>
      <c r="H249" s="7" t="s">
        <v>147</v>
      </c>
      <c r="I249" s="6" t="s">
        <v>143</v>
      </c>
      <c r="J249" s="6"/>
      <c r="K249" s="6"/>
      <c r="L249" s="6" t="s">
        <v>144</v>
      </c>
      <c r="M249" s="10">
        <v>0</v>
      </c>
      <c r="N249" s="10">
        <v>0</v>
      </c>
      <c r="O249" s="10">
        <v>0</v>
      </c>
      <c r="P249" s="10">
        <v>0</v>
      </c>
      <c r="Q249" s="10">
        <v>9154.9589384038009</v>
      </c>
      <c r="R249" s="10">
        <v>0</v>
      </c>
      <c r="S249" s="10">
        <v>0</v>
      </c>
      <c r="T249" s="10">
        <v>0</v>
      </c>
      <c r="U249" s="10">
        <v>0</v>
      </c>
      <c r="V249" s="10">
        <v>9154.9589384038009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18309.917876807602</v>
      </c>
      <c r="AL249" s="10">
        <v>0</v>
      </c>
      <c r="AM249" s="10">
        <v>0</v>
      </c>
      <c r="AN249" s="10">
        <v>0</v>
      </c>
      <c r="AO249" s="10">
        <v>0</v>
      </c>
      <c r="AP249" s="16">
        <f t="shared" si="4"/>
        <v>18309.917876807602</v>
      </c>
    </row>
    <row r="250" spans="1:42" x14ac:dyDescent="0.25">
      <c r="A250" s="6" t="s">
        <v>34</v>
      </c>
      <c r="B250" s="6" t="s">
        <v>18</v>
      </c>
      <c r="C250" s="6" t="s">
        <v>139</v>
      </c>
      <c r="D250" s="7" t="s">
        <v>140</v>
      </c>
      <c r="E250" s="7" t="s">
        <v>21</v>
      </c>
      <c r="F250" s="7" t="s">
        <v>141</v>
      </c>
      <c r="G250" s="7" t="s">
        <v>23</v>
      </c>
      <c r="H250" s="7" t="s">
        <v>148</v>
      </c>
      <c r="I250" s="6" t="s">
        <v>143</v>
      </c>
      <c r="J250" s="6"/>
      <c r="K250" s="6"/>
      <c r="L250" s="6" t="s">
        <v>144</v>
      </c>
      <c r="M250" s="10">
        <v>0</v>
      </c>
      <c r="N250" s="10">
        <v>0</v>
      </c>
      <c r="O250" s="10">
        <v>0</v>
      </c>
      <c r="P250" s="10">
        <v>0</v>
      </c>
      <c r="Q250" s="10">
        <v>64084.71256882661</v>
      </c>
      <c r="R250" s="10">
        <v>0</v>
      </c>
      <c r="S250" s="10">
        <v>0</v>
      </c>
      <c r="T250" s="10">
        <v>0</v>
      </c>
      <c r="U250" s="10">
        <v>0</v>
      </c>
      <c r="V250" s="10">
        <v>64084.71256882661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128169.42513765322</v>
      </c>
      <c r="AL250" s="10">
        <v>0</v>
      </c>
      <c r="AM250" s="10">
        <v>0</v>
      </c>
      <c r="AN250" s="10">
        <v>0</v>
      </c>
      <c r="AO250" s="10">
        <v>0</v>
      </c>
      <c r="AP250" s="16">
        <f t="shared" si="4"/>
        <v>128169.42513765322</v>
      </c>
    </row>
    <row r="251" spans="1:42" x14ac:dyDescent="0.25">
      <c r="A251" s="6" t="s">
        <v>36</v>
      </c>
      <c r="B251" s="6" t="s">
        <v>18</v>
      </c>
      <c r="C251" s="6" t="s">
        <v>139</v>
      </c>
      <c r="D251" s="7" t="s">
        <v>140</v>
      </c>
      <c r="E251" s="7" t="s">
        <v>21</v>
      </c>
      <c r="F251" s="7" t="s">
        <v>141</v>
      </c>
      <c r="G251" s="7" t="s">
        <v>23</v>
      </c>
      <c r="H251" s="7" t="s">
        <v>149</v>
      </c>
      <c r="I251" s="6" t="s">
        <v>143</v>
      </c>
      <c r="J251" s="6"/>
      <c r="K251" s="6"/>
      <c r="L251" s="6" t="s">
        <v>144</v>
      </c>
      <c r="M251" s="10">
        <v>0</v>
      </c>
      <c r="N251" s="10">
        <v>0</v>
      </c>
      <c r="O251" s="10">
        <v>0</v>
      </c>
      <c r="P251" s="10">
        <v>0</v>
      </c>
      <c r="Q251" s="10">
        <v>228.87397346009502</v>
      </c>
      <c r="R251" s="10">
        <v>0</v>
      </c>
      <c r="S251" s="10">
        <v>0</v>
      </c>
      <c r="T251" s="10">
        <v>0</v>
      </c>
      <c r="U251" s="10">
        <v>0</v>
      </c>
      <c r="V251" s="10">
        <v>228.87397346009502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457.74794692019003</v>
      </c>
      <c r="AL251" s="10">
        <v>0</v>
      </c>
      <c r="AM251" s="10">
        <v>0</v>
      </c>
      <c r="AN251" s="10">
        <v>0</v>
      </c>
      <c r="AO251" s="10">
        <v>0</v>
      </c>
      <c r="AP251" s="16">
        <f t="shared" si="4"/>
        <v>457.74794692019003</v>
      </c>
    </row>
    <row r="252" spans="1:42" x14ac:dyDescent="0.25">
      <c r="A252" s="6" t="s">
        <v>150</v>
      </c>
      <c r="B252" s="6" t="s">
        <v>18</v>
      </c>
      <c r="C252" s="6" t="s">
        <v>139</v>
      </c>
      <c r="D252" s="7" t="s">
        <v>140</v>
      </c>
      <c r="E252" s="7" t="s">
        <v>21</v>
      </c>
      <c r="F252" s="7" t="s">
        <v>141</v>
      </c>
      <c r="G252" s="7" t="s">
        <v>23</v>
      </c>
      <c r="H252" s="7" t="s">
        <v>151</v>
      </c>
      <c r="I252" s="6" t="s">
        <v>143</v>
      </c>
      <c r="J252" s="6"/>
      <c r="K252" s="6"/>
      <c r="L252" s="6" t="s">
        <v>144</v>
      </c>
      <c r="M252" s="10">
        <v>0</v>
      </c>
      <c r="N252" s="10">
        <v>0</v>
      </c>
      <c r="O252" s="10">
        <v>0</v>
      </c>
      <c r="P252" s="10">
        <v>0</v>
      </c>
      <c r="Q252" s="10">
        <v>457.74794692019003</v>
      </c>
      <c r="R252" s="10">
        <v>0</v>
      </c>
      <c r="S252" s="10">
        <v>0</v>
      </c>
      <c r="T252" s="10">
        <v>0</v>
      </c>
      <c r="U252" s="10">
        <v>0</v>
      </c>
      <c r="V252" s="10">
        <v>457.74794692019003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915.49589384038006</v>
      </c>
      <c r="AL252" s="10">
        <v>0</v>
      </c>
      <c r="AM252" s="10">
        <v>0</v>
      </c>
      <c r="AN252" s="10">
        <v>0</v>
      </c>
      <c r="AO252" s="10">
        <v>0</v>
      </c>
      <c r="AP252" s="16">
        <f t="shared" si="4"/>
        <v>915.49589384038006</v>
      </c>
    </row>
    <row r="253" spans="1:42" x14ac:dyDescent="0.25">
      <c r="A253" s="6" t="s">
        <v>152</v>
      </c>
      <c r="B253" s="6" t="s">
        <v>18</v>
      </c>
      <c r="C253" s="6" t="s">
        <v>139</v>
      </c>
      <c r="D253" s="7" t="s">
        <v>140</v>
      </c>
      <c r="E253" s="7" t="s">
        <v>21</v>
      </c>
      <c r="F253" s="7" t="s">
        <v>141</v>
      </c>
      <c r="G253" s="7" t="s">
        <v>23</v>
      </c>
      <c r="H253" s="7" t="s">
        <v>153</v>
      </c>
      <c r="I253" s="6" t="s">
        <v>143</v>
      </c>
      <c r="J253" s="6"/>
      <c r="K253" s="6"/>
      <c r="L253" s="6" t="s">
        <v>144</v>
      </c>
      <c r="M253" s="10">
        <v>0</v>
      </c>
      <c r="N253" s="10">
        <v>0</v>
      </c>
      <c r="O253" s="10">
        <v>0</v>
      </c>
      <c r="P253" s="10">
        <v>0</v>
      </c>
      <c r="Q253" s="10">
        <v>228.87397346009502</v>
      </c>
      <c r="R253" s="10">
        <v>0</v>
      </c>
      <c r="S253" s="10">
        <v>0</v>
      </c>
      <c r="T253" s="10">
        <v>0</v>
      </c>
      <c r="U253" s="10">
        <v>0</v>
      </c>
      <c r="V253" s="10">
        <v>228.87397346009502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457.74794692019003</v>
      </c>
      <c r="AL253" s="10">
        <v>0</v>
      </c>
      <c r="AM253" s="10">
        <v>0</v>
      </c>
      <c r="AN253" s="10">
        <v>0</v>
      </c>
      <c r="AO253" s="10">
        <v>0</v>
      </c>
      <c r="AP253" s="16">
        <f t="shared" si="4"/>
        <v>457.74794692019003</v>
      </c>
    </row>
    <row r="254" spans="1:42" x14ac:dyDescent="0.25">
      <c r="A254" s="6" t="s">
        <v>38</v>
      </c>
      <c r="B254" s="6" t="s">
        <v>18</v>
      </c>
      <c r="C254" s="6" t="s">
        <v>139</v>
      </c>
      <c r="D254" s="7" t="s">
        <v>140</v>
      </c>
      <c r="E254" s="7" t="s">
        <v>21</v>
      </c>
      <c r="F254" s="7" t="s">
        <v>141</v>
      </c>
      <c r="G254" s="7" t="s">
        <v>23</v>
      </c>
      <c r="H254" s="7" t="s">
        <v>154</v>
      </c>
      <c r="I254" s="6" t="s">
        <v>143</v>
      </c>
      <c r="J254" s="6"/>
      <c r="K254" s="6"/>
      <c r="L254" s="6" t="s">
        <v>144</v>
      </c>
      <c r="M254" s="10">
        <v>0</v>
      </c>
      <c r="N254" s="10">
        <v>0</v>
      </c>
      <c r="O254" s="10">
        <v>0</v>
      </c>
      <c r="P254" s="10">
        <v>0</v>
      </c>
      <c r="Q254" s="10">
        <v>10757.076752624465</v>
      </c>
      <c r="R254" s="10">
        <v>0</v>
      </c>
      <c r="S254" s="10">
        <v>0</v>
      </c>
      <c r="T254" s="10">
        <v>0</v>
      </c>
      <c r="U254" s="10">
        <v>0</v>
      </c>
      <c r="V254" s="10">
        <v>10757.076752624465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>
        <v>0</v>
      </c>
      <c r="AK254" s="10">
        <v>21514.153505248931</v>
      </c>
      <c r="AL254" s="10">
        <v>0</v>
      </c>
      <c r="AM254" s="10">
        <v>0</v>
      </c>
      <c r="AN254" s="10">
        <v>0</v>
      </c>
      <c r="AO254" s="10">
        <v>0</v>
      </c>
      <c r="AP254" s="16">
        <f t="shared" si="4"/>
        <v>21514.153505248931</v>
      </c>
    </row>
    <row r="255" spans="1:42" x14ac:dyDescent="0.25">
      <c r="A255" s="6" t="s">
        <v>96</v>
      </c>
      <c r="B255" s="6" t="s">
        <v>18</v>
      </c>
      <c r="C255" s="6" t="s">
        <v>139</v>
      </c>
      <c r="D255" s="7" t="s">
        <v>140</v>
      </c>
      <c r="E255" s="7" t="s">
        <v>21</v>
      </c>
      <c r="F255" s="7" t="s">
        <v>141</v>
      </c>
      <c r="G255" s="7" t="s">
        <v>23</v>
      </c>
      <c r="H255" s="7" t="s">
        <v>155</v>
      </c>
      <c r="I255" s="6" t="s">
        <v>143</v>
      </c>
      <c r="J255" s="6"/>
      <c r="K255" s="6"/>
      <c r="L255" s="6" t="s">
        <v>144</v>
      </c>
      <c r="M255" s="10">
        <v>0</v>
      </c>
      <c r="N255" s="10">
        <v>0</v>
      </c>
      <c r="O255" s="10">
        <v>0</v>
      </c>
      <c r="P255" s="10">
        <v>0</v>
      </c>
      <c r="Q255" s="10">
        <v>228.87397346009502</v>
      </c>
      <c r="R255" s="10">
        <v>0</v>
      </c>
      <c r="S255" s="10">
        <v>0</v>
      </c>
      <c r="T255" s="10">
        <v>0</v>
      </c>
      <c r="U255" s="10">
        <v>0</v>
      </c>
      <c r="V255" s="10">
        <v>228.87397346009502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457.74794692019003</v>
      </c>
      <c r="AL255" s="10">
        <v>0</v>
      </c>
      <c r="AM255" s="10">
        <v>0</v>
      </c>
      <c r="AN255" s="10">
        <v>0</v>
      </c>
      <c r="AO255" s="10">
        <v>0</v>
      </c>
      <c r="AP255" s="16">
        <f t="shared" si="4"/>
        <v>457.74794692019003</v>
      </c>
    </row>
    <row r="256" spans="1:42" x14ac:dyDescent="0.25">
      <c r="A256" s="6" t="s">
        <v>40</v>
      </c>
      <c r="B256" s="6" t="s">
        <v>18</v>
      </c>
      <c r="C256" s="6" t="s">
        <v>139</v>
      </c>
      <c r="D256" s="7" t="s">
        <v>140</v>
      </c>
      <c r="E256" s="7" t="s">
        <v>21</v>
      </c>
      <c r="F256" s="7" t="s">
        <v>141</v>
      </c>
      <c r="G256" s="7" t="s">
        <v>23</v>
      </c>
      <c r="H256" s="7" t="s">
        <v>156</v>
      </c>
      <c r="I256" s="6" t="s">
        <v>143</v>
      </c>
      <c r="J256" s="6"/>
      <c r="K256" s="6"/>
      <c r="L256" s="6" t="s">
        <v>144</v>
      </c>
      <c r="M256" s="10">
        <v>0</v>
      </c>
      <c r="N256" s="10">
        <v>0</v>
      </c>
      <c r="O256" s="10">
        <v>0</v>
      </c>
      <c r="P256" s="10">
        <v>0</v>
      </c>
      <c r="Q256" s="10">
        <v>36848.709727075293</v>
      </c>
      <c r="R256" s="10">
        <v>0</v>
      </c>
      <c r="S256" s="10">
        <v>0</v>
      </c>
      <c r="T256" s="10">
        <v>0</v>
      </c>
      <c r="U256" s="10">
        <v>0</v>
      </c>
      <c r="V256" s="10">
        <v>36848.709727075293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73697.419454150586</v>
      </c>
      <c r="AL256" s="10">
        <v>0</v>
      </c>
      <c r="AM256" s="10">
        <v>0</v>
      </c>
      <c r="AN256" s="10">
        <v>0</v>
      </c>
      <c r="AO256" s="10">
        <v>0</v>
      </c>
      <c r="AP256" s="16">
        <f t="shared" si="4"/>
        <v>73697.419454150586</v>
      </c>
    </row>
    <row r="257" spans="1:42" x14ac:dyDescent="0.25">
      <c r="A257" s="6" t="s">
        <v>58</v>
      </c>
      <c r="B257" s="6" t="s">
        <v>18</v>
      </c>
      <c r="C257" s="6" t="s">
        <v>139</v>
      </c>
      <c r="D257" s="7" t="s">
        <v>140</v>
      </c>
      <c r="E257" s="7" t="s">
        <v>21</v>
      </c>
      <c r="F257" s="7" t="s">
        <v>141</v>
      </c>
      <c r="G257" s="7" t="s">
        <v>23</v>
      </c>
      <c r="H257" s="7" t="s">
        <v>157</v>
      </c>
      <c r="I257" s="6" t="s">
        <v>143</v>
      </c>
      <c r="J257" s="6"/>
      <c r="K257" s="6"/>
      <c r="L257" s="6" t="s">
        <v>144</v>
      </c>
      <c r="M257" s="10">
        <v>0</v>
      </c>
      <c r="N257" s="10">
        <v>0</v>
      </c>
      <c r="O257" s="10">
        <v>0</v>
      </c>
      <c r="P257" s="10">
        <v>0</v>
      </c>
      <c r="Q257" s="10">
        <v>14647.934301446081</v>
      </c>
      <c r="R257" s="10">
        <v>0</v>
      </c>
      <c r="S257" s="10">
        <v>0</v>
      </c>
      <c r="T257" s="10">
        <v>0</v>
      </c>
      <c r="U257" s="10">
        <v>0</v>
      </c>
      <c r="V257" s="10">
        <v>14647.934301446081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29295.868602892162</v>
      </c>
      <c r="AL257" s="10">
        <v>0</v>
      </c>
      <c r="AM257" s="10">
        <v>0</v>
      </c>
      <c r="AN257" s="10">
        <v>0</v>
      </c>
      <c r="AO257" s="10">
        <v>0</v>
      </c>
      <c r="AP257" s="16">
        <f t="shared" si="4"/>
        <v>29295.868602892162</v>
      </c>
    </row>
    <row r="258" spans="1:42" x14ac:dyDescent="0.25">
      <c r="A258" s="6" t="s">
        <v>92</v>
      </c>
      <c r="B258" s="6" t="s">
        <v>18</v>
      </c>
      <c r="C258" s="6" t="s">
        <v>139</v>
      </c>
      <c r="D258" s="7" t="s">
        <v>140</v>
      </c>
      <c r="E258" s="7" t="s">
        <v>21</v>
      </c>
      <c r="F258" s="7" t="s">
        <v>141</v>
      </c>
      <c r="G258" s="7" t="s">
        <v>23</v>
      </c>
      <c r="H258" s="7" t="s">
        <v>158</v>
      </c>
      <c r="I258" s="6" t="s">
        <v>143</v>
      </c>
      <c r="J258" s="6"/>
      <c r="K258" s="6"/>
      <c r="L258" s="6" t="s">
        <v>144</v>
      </c>
      <c r="M258" s="10">
        <v>0</v>
      </c>
      <c r="N258" s="10">
        <v>0</v>
      </c>
      <c r="O258" s="10">
        <v>0</v>
      </c>
      <c r="P258" s="10">
        <v>0</v>
      </c>
      <c r="Q258" s="10">
        <v>457.74794692019003</v>
      </c>
      <c r="R258" s="10">
        <v>0</v>
      </c>
      <c r="S258" s="10">
        <v>0</v>
      </c>
      <c r="T258" s="10">
        <v>0</v>
      </c>
      <c r="U258" s="10">
        <v>0</v>
      </c>
      <c r="V258" s="10">
        <v>457.74794692019003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915.49589384038006</v>
      </c>
      <c r="AL258" s="10">
        <v>0</v>
      </c>
      <c r="AM258" s="10">
        <v>0</v>
      </c>
      <c r="AN258" s="10">
        <v>0</v>
      </c>
      <c r="AO258" s="10">
        <v>0</v>
      </c>
      <c r="AP258" s="16">
        <f t="shared" si="4"/>
        <v>915.49589384038006</v>
      </c>
    </row>
    <row r="259" spans="1:42" x14ac:dyDescent="0.25">
      <c r="A259" s="6" t="s">
        <v>98</v>
      </c>
      <c r="B259" s="6" t="s">
        <v>18</v>
      </c>
      <c r="C259" s="6" t="s">
        <v>139</v>
      </c>
      <c r="D259" s="7" t="s">
        <v>140</v>
      </c>
      <c r="E259" s="7" t="s">
        <v>21</v>
      </c>
      <c r="F259" s="7" t="s">
        <v>141</v>
      </c>
      <c r="G259" s="7" t="s">
        <v>23</v>
      </c>
      <c r="H259" s="7" t="s">
        <v>159</v>
      </c>
      <c r="I259" s="6" t="s">
        <v>143</v>
      </c>
      <c r="J259" s="6"/>
      <c r="K259" s="6"/>
      <c r="L259" s="6" t="s">
        <v>144</v>
      </c>
      <c r="M259" s="10">
        <v>0</v>
      </c>
      <c r="N259" s="10">
        <v>0</v>
      </c>
      <c r="O259" s="10">
        <v>0</v>
      </c>
      <c r="P259" s="10">
        <v>0</v>
      </c>
      <c r="Q259" s="10">
        <v>686.62192038028502</v>
      </c>
      <c r="R259" s="10">
        <v>0</v>
      </c>
      <c r="S259" s="10">
        <v>0</v>
      </c>
      <c r="T259" s="10">
        <v>0</v>
      </c>
      <c r="U259" s="10">
        <v>0</v>
      </c>
      <c r="V259" s="10">
        <v>686.62192038028502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1373.24384076057</v>
      </c>
      <c r="AL259" s="10">
        <v>0</v>
      </c>
      <c r="AM259" s="10">
        <v>0</v>
      </c>
      <c r="AN259" s="10">
        <v>0</v>
      </c>
      <c r="AO259" s="10">
        <v>0</v>
      </c>
      <c r="AP259" s="16">
        <f t="shared" si="4"/>
        <v>1373.24384076057</v>
      </c>
    </row>
    <row r="260" spans="1:42" x14ac:dyDescent="0.25">
      <c r="A260" s="6" t="s">
        <v>100</v>
      </c>
      <c r="B260" s="6" t="s">
        <v>18</v>
      </c>
      <c r="C260" s="6" t="s">
        <v>139</v>
      </c>
      <c r="D260" s="7" t="s">
        <v>140</v>
      </c>
      <c r="E260" s="7" t="s">
        <v>21</v>
      </c>
      <c r="F260" s="7" t="s">
        <v>141</v>
      </c>
      <c r="G260" s="7" t="s">
        <v>23</v>
      </c>
      <c r="H260" s="7" t="s">
        <v>160</v>
      </c>
      <c r="I260" s="6" t="s">
        <v>143</v>
      </c>
      <c r="J260" s="6"/>
      <c r="K260" s="6"/>
      <c r="L260" s="6" t="s">
        <v>144</v>
      </c>
      <c r="M260" s="10">
        <v>0</v>
      </c>
      <c r="N260" s="10">
        <v>0</v>
      </c>
      <c r="O260" s="10">
        <v>0</v>
      </c>
      <c r="P260" s="10">
        <v>0</v>
      </c>
      <c r="Q260" s="10">
        <v>915.49589384038006</v>
      </c>
      <c r="R260" s="10">
        <v>0</v>
      </c>
      <c r="S260" s="10">
        <v>0</v>
      </c>
      <c r="T260" s="10">
        <v>0</v>
      </c>
      <c r="U260" s="10">
        <v>0</v>
      </c>
      <c r="V260" s="10">
        <v>915.49589384038006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1830.9917876807601</v>
      </c>
      <c r="AL260" s="10">
        <v>0</v>
      </c>
      <c r="AM260" s="10">
        <v>0</v>
      </c>
      <c r="AN260" s="10">
        <v>0</v>
      </c>
      <c r="AO260" s="10">
        <v>0</v>
      </c>
      <c r="AP260" s="16">
        <f t="shared" si="4"/>
        <v>1830.9917876807601</v>
      </c>
    </row>
    <row r="261" spans="1:42" x14ac:dyDescent="0.25">
      <c r="A261" s="6" t="s">
        <v>161</v>
      </c>
      <c r="B261" s="6" t="s">
        <v>18</v>
      </c>
      <c r="C261" s="6" t="s">
        <v>139</v>
      </c>
      <c r="D261" s="7" t="s">
        <v>140</v>
      </c>
      <c r="E261" s="7" t="s">
        <v>21</v>
      </c>
      <c r="F261" s="7" t="s">
        <v>141</v>
      </c>
      <c r="G261" s="7" t="s">
        <v>23</v>
      </c>
      <c r="H261" s="7" t="s">
        <v>162</v>
      </c>
      <c r="I261" s="6" t="s">
        <v>143</v>
      </c>
      <c r="J261" s="6"/>
      <c r="K261" s="6"/>
      <c r="L261" s="6" t="s">
        <v>144</v>
      </c>
      <c r="M261" s="10">
        <v>0</v>
      </c>
      <c r="N261" s="10">
        <v>0</v>
      </c>
      <c r="O261" s="10">
        <v>0</v>
      </c>
      <c r="P261" s="10">
        <v>0</v>
      </c>
      <c r="Q261" s="10">
        <v>228.87397346009502</v>
      </c>
      <c r="R261" s="10">
        <v>0</v>
      </c>
      <c r="S261" s="10">
        <v>0</v>
      </c>
      <c r="T261" s="10">
        <v>0</v>
      </c>
      <c r="U261" s="10">
        <v>0</v>
      </c>
      <c r="V261" s="10">
        <v>228.87397346009502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457.74794692019003</v>
      </c>
      <c r="AL261" s="10">
        <v>0</v>
      </c>
      <c r="AM261" s="10">
        <v>0</v>
      </c>
      <c r="AN261" s="10">
        <v>0</v>
      </c>
      <c r="AO261" s="10">
        <v>0</v>
      </c>
      <c r="AP261" s="16">
        <f t="shared" ref="AP261:AP324" si="5">SUM(AK261:AO261)</f>
        <v>457.74794692019003</v>
      </c>
    </row>
    <row r="262" spans="1:42" x14ac:dyDescent="0.25">
      <c r="A262" s="6" t="s">
        <v>163</v>
      </c>
      <c r="B262" s="6" t="s">
        <v>18</v>
      </c>
      <c r="C262" s="6" t="s">
        <v>139</v>
      </c>
      <c r="D262" s="7" t="s">
        <v>140</v>
      </c>
      <c r="E262" s="7" t="s">
        <v>21</v>
      </c>
      <c r="F262" s="7" t="s">
        <v>141</v>
      </c>
      <c r="G262" s="7" t="s">
        <v>23</v>
      </c>
      <c r="H262" s="7" t="s">
        <v>164</v>
      </c>
      <c r="I262" s="6" t="s">
        <v>143</v>
      </c>
      <c r="J262" s="6"/>
      <c r="K262" s="6"/>
      <c r="L262" s="6" t="s">
        <v>144</v>
      </c>
      <c r="M262" s="10">
        <v>0</v>
      </c>
      <c r="N262" s="10">
        <v>0</v>
      </c>
      <c r="O262" s="10">
        <v>0</v>
      </c>
      <c r="P262" s="10">
        <v>0</v>
      </c>
      <c r="Q262" s="10">
        <v>457.74794692019003</v>
      </c>
      <c r="R262" s="10">
        <v>0</v>
      </c>
      <c r="S262" s="10">
        <v>0</v>
      </c>
      <c r="T262" s="10">
        <v>0</v>
      </c>
      <c r="U262" s="10">
        <v>0</v>
      </c>
      <c r="V262" s="10">
        <v>457.74794692019003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915.49589384038006</v>
      </c>
      <c r="AL262" s="10">
        <v>0</v>
      </c>
      <c r="AM262" s="10">
        <v>0</v>
      </c>
      <c r="AN262" s="10">
        <v>0</v>
      </c>
      <c r="AO262" s="10">
        <v>0</v>
      </c>
      <c r="AP262" s="16">
        <f t="shared" si="5"/>
        <v>915.49589384038006</v>
      </c>
    </row>
    <row r="263" spans="1:42" x14ac:dyDescent="0.25">
      <c r="A263" s="6" t="s">
        <v>42</v>
      </c>
      <c r="B263" s="6" t="s">
        <v>18</v>
      </c>
      <c r="C263" s="6" t="s">
        <v>139</v>
      </c>
      <c r="D263" s="7" t="s">
        <v>140</v>
      </c>
      <c r="E263" s="7" t="s">
        <v>21</v>
      </c>
      <c r="F263" s="7" t="s">
        <v>141</v>
      </c>
      <c r="G263" s="7" t="s">
        <v>23</v>
      </c>
      <c r="H263" s="7" t="s">
        <v>165</v>
      </c>
      <c r="I263" s="6" t="s">
        <v>143</v>
      </c>
      <c r="J263" s="6"/>
      <c r="K263" s="6"/>
      <c r="L263" s="6" t="s">
        <v>144</v>
      </c>
      <c r="M263" s="10">
        <v>0</v>
      </c>
      <c r="N263" s="10">
        <v>0</v>
      </c>
      <c r="O263" s="10">
        <v>0</v>
      </c>
      <c r="P263" s="10">
        <v>0</v>
      </c>
      <c r="Q263" s="10">
        <v>8468.3370180235161</v>
      </c>
      <c r="R263" s="10">
        <v>0</v>
      </c>
      <c r="S263" s="10">
        <v>0</v>
      </c>
      <c r="T263" s="10">
        <v>0</v>
      </c>
      <c r="U263" s="10">
        <v>0</v>
      </c>
      <c r="V263" s="10">
        <v>8468.3370180235161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16936.674036047032</v>
      </c>
      <c r="AL263" s="10">
        <v>0</v>
      </c>
      <c r="AM263" s="10">
        <v>0</v>
      </c>
      <c r="AN263" s="10">
        <v>0</v>
      </c>
      <c r="AO263" s="10">
        <v>0</v>
      </c>
      <c r="AP263" s="16">
        <f t="shared" si="5"/>
        <v>16936.674036047032</v>
      </c>
    </row>
    <row r="264" spans="1:42" x14ac:dyDescent="0.25">
      <c r="A264" s="6" t="s">
        <v>17</v>
      </c>
      <c r="B264" s="6" t="s">
        <v>18</v>
      </c>
      <c r="C264" s="6" t="s">
        <v>139</v>
      </c>
      <c r="D264" s="7" t="s">
        <v>140</v>
      </c>
      <c r="E264" s="7" t="s">
        <v>21</v>
      </c>
      <c r="F264" s="7" t="s">
        <v>141</v>
      </c>
      <c r="G264" s="7" t="s">
        <v>23</v>
      </c>
      <c r="H264" s="7" t="s">
        <v>142</v>
      </c>
      <c r="I264" s="6" t="s">
        <v>143</v>
      </c>
      <c r="J264" s="6"/>
      <c r="K264" s="6"/>
      <c r="L264" s="6" t="s">
        <v>166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45774.794692019001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45774.794692019001</v>
      </c>
      <c r="AL264" s="10">
        <v>0</v>
      </c>
      <c r="AM264" s="10">
        <v>0</v>
      </c>
      <c r="AN264" s="10">
        <v>0</v>
      </c>
      <c r="AO264" s="10">
        <v>0</v>
      </c>
      <c r="AP264" s="16">
        <f t="shared" si="5"/>
        <v>45774.794692019001</v>
      </c>
    </row>
    <row r="265" spans="1:42" x14ac:dyDescent="0.25">
      <c r="A265" s="6" t="s">
        <v>28</v>
      </c>
      <c r="B265" s="6" t="s">
        <v>18</v>
      </c>
      <c r="C265" s="6" t="s">
        <v>139</v>
      </c>
      <c r="D265" s="7" t="s">
        <v>140</v>
      </c>
      <c r="E265" s="7" t="s">
        <v>21</v>
      </c>
      <c r="F265" s="7" t="s">
        <v>141</v>
      </c>
      <c r="G265" s="7" t="s">
        <v>23</v>
      </c>
      <c r="H265" s="7" t="s">
        <v>145</v>
      </c>
      <c r="I265" s="6" t="s">
        <v>143</v>
      </c>
      <c r="J265" s="6"/>
      <c r="K265" s="6"/>
      <c r="L265" s="6" t="s">
        <v>166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292958.68602892163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  <c r="AI265" s="10">
        <v>0</v>
      </c>
      <c r="AJ265" s="10">
        <v>0</v>
      </c>
      <c r="AK265" s="10">
        <v>292958.68602892163</v>
      </c>
      <c r="AL265" s="10">
        <v>0</v>
      </c>
      <c r="AM265" s="10">
        <v>0</v>
      </c>
      <c r="AN265" s="10">
        <v>0</v>
      </c>
      <c r="AO265" s="10">
        <v>0</v>
      </c>
      <c r="AP265" s="16">
        <f t="shared" si="5"/>
        <v>292958.68602892163</v>
      </c>
    </row>
    <row r="266" spans="1:42" x14ac:dyDescent="0.25">
      <c r="A266" s="6" t="s">
        <v>30</v>
      </c>
      <c r="B266" s="6" t="s">
        <v>18</v>
      </c>
      <c r="C266" s="6" t="s">
        <v>139</v>
      </c>
      <c r="D266" s="7" t="s">
        <v>140</v>
      </c>
      <c r="E266" s="7" t="s">
        <v>21</v>
      </c>
      <c r="F266" s="7" t="s">
        <v>141</v>
      </c>
      <c r="G266" s="7" t="s">
        <v>23</v>
      </c>
      <c r="H266" s="7" t="s">
        <v>146</v>
      </c>
      <c r="I266" s="6" t="s">
        <v>143</v>
      </c>
      <c r="J266" s="6"/>
      <c r="K266" s="6"/>
      <c r="L266" s="6" t="s">
        <v>166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109859.5072608456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109859.5072608456</v>
      </c>
      <c r="AL266" s="10">
        <v>0</v>
      </c>
      <c r="AM266" s="10">
        <v>0</v>
      </c>
      <c r="AN266" s="10">
        <v>0</v>
      </c>
      <c r="AO266" s="10">
        <v>0</v>
      </c>
      <c r="AP266" s="16">
        <f t="shared" si="5"/>
        <v>109859.5072608456</v>
      </c>
    </row>
    <row r="267" spans="1:42" x14ac:dyDescent="0.25">
      <c r="A267" s="6" t="s">
        <v>32</v>
      </c>
      <c r="B267" s="6" t="s">
        <v>18</v>
      </c>
      <c r="C267" s="6" t="s">
        <v>139</v>
      </c>
      <c r="D267" s="7" t="s">
        <v>140</v>
      </c>
      <c r="E267" s="7" t="s">
        <v>21</v>
      </c>
      <c r="F267" s="7" t="s">
        <v>141</v>
      </c>
      <c r="G267" s="7" t="s">
        <v>23</v>
      </c>
      <c r="H267" s="7" t="s">
        <v>147</v>
      </c>
      <c r="I267" s="6" t="s">
        <v>143</v>
      </c>
      <c r="J267" s="6"/>
      <c r="K267" s="6"/>
      <c r="L267" s="6" t="s">
        <v>166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36619.835753615203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  <c r="AI267" s="10">
        <v>0</v>
      </c>
      <c r="AJ267" s="10">
        <v>0</v>
      </c>
      <c r="AK267" s="10">
        <v>36619.835753615203</v>
      </c>
      <c r="AL267" s="10">
        <v>0</v>
      </c>
      <c r="AM267" s="10">
        <v>0</v>
      </c>
      <c r="AN267" s="10">
        <v>0</v>
      </c>
      <c r="AO267" s="10">
        <v>0</v>
      </c>
      <c r="AP267" s="16">
        <f t="shared" si="5"/>
        <v>36619.835753615203</v>
      </c>
    </row>
    <row r="268" spans="1:42" x14ac:dyDescent="0.25">
      <c r="A268" s="6" t="s">
        <v>34</v>
      </c>
      <c r="B268" s="6" t="s">
        <v>18</v>
      </c>
      <c r="C268" s="6" t="s">
        <v>139</v>
      </c>
      <c r="D268" s="7" t="s">
        <v>140</v>
      </c>
      <c r="E268" s="7" t="s">
        <v>21</v>
      </c>
      <c r="F268" s="7" t="s">
        <v>141</v>
      </c>
      <c r="G268" s="7" t="s">
        <v>23</v>
      </c>
      <c r="H268" s="7" t="s">
        <v>148</v>
      </c>
      <c r="I268" s="6" t="s">
        <v>143</v>
      </c>
      <c r="J268" s="6"/>
      <c r="K268" s="6"/>
      <c r="L268" s="6" t="s">
        <v>166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219719.01452169119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  <c r="AI268" s="10">
        <v>0</v>
      </c>
      <c r="AJ268" s="10">
        <v>0</v>
      </c>
      <c r="AK268" s="10">
        <v>219719.01452169119</v>
      </c>
      <c r="AL268" s="10">
        <v>0</v>
      </c>
      <c r="AM268" s="10">
        <v>0</v>
      </c>
      <c r="AN268" s="10">
        <v>0</v>
      </c>
      <c r="AO268" s="10">
        <v>0</v>
      </c>
      <c r="AP268" s="16">
        <f t="shared" si="5"/>
        <v>219719.01452169119</v>
      </c>
    </row>
    <row r="269" spans="1:42" x14ac:dyDescent="0.25">
      <c r="A269" s="6" t="s">
        <v>167</v>
      </c>
      <c r="B269" s="6" t="s">
        <v>18</v>
      </c>
      <c r="C269" s="6" t="s">
        <v>139</v>
      </c>
      <c r="D269" s="7" t="s">
        <v>140</v>
      </c>
      <c r="E269" s="7" t="s">
        <v>21</v>
      </c>
      <c r="F269" s="7" t="s">
        <v>141</v>
      </c>
      <c r="G269" s="7" t="s">
        <v>23</v>
      </c>
      <c r="H269" s="7" t="s">
        <v>168</v>
      </c>
      <c r="I269" s="6" t="s">
        <v>143</v>
      </c>
      <c r="J269" s="6"/>
      <c r="K269" s="6"/>
      <c r="L269" s="6" t="s">
        <v>166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192254.13770647981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  <c r="AI269" s="10">
        <v>0</v>
      </c>
      <c r="AJ269" s="10">
        <v>0</v>
      </c>
      <c r="AK269" s="10">
        <v>192254.13770647981</v>
      </c>
      <c r="AL269" s="10">
        <v>0</v>
      </c>
      <c r="AM269" s="10">
        <v>0</v>
      </c>
      <c r="AN269" s="10">
        <v>0</v>
      </c>
      <c r="AO269" s="10">
        <v>0</v>
      </c>
      <c r="AP269" s="16">
        <f t="shared" si="5"/>
        <v>192254.13770647981</v>
      </c>
    </row>
    <row r="270" spans="1:42" x14ac:dyDescent="0.25">
      <c r="A270" s="6" t="s">
        <v>38</v>
      </c>
      <c r="B270" s="6" t="s">
        <v>18</v>
      </c>
      <c r="C270" s="6" t="s">
        <v>139</v>
      </c>
      <c r="D270" s="7" t="s">
        <v>140</v>
      </c>
      <c r="E270" s="7" t="s">
        <v>21</v>
      </c>
      <c r="F270" s="7" t="s">
        <v>141</v>
      </c>
      <c r="G270" s="7" t="s">
        <v>23</v>
      </c>
      <c r="H270" s="7" t="s">
        <v>154</v>
      </c>
      <c r="I270" s="6" t="s">
        <v>143</v>
      </c>
      <c r="J270" s="6"/>
      <c r="K270" s="6"/>
      <c r="L270" s="6" t="s">
        <v>166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18309.917876807602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  <c r="AI270" s="10">
        <v>0</v>
      </c>
      <c r="AJ270" s="10">
        <v>0</v>
      </c>
      <c r="AK270" s="10">
        <v>18309.917876807602</v>
      </c>
      <c r="AL270" s="10">
        <v>0</v>
      </c>
      <c r="AM270" s="10">
        <v>0</v>
      </c>
      <c r="AN270" s="10">
        <v>0</v>
      </c>
      <c r="AO270" s="10">
        <v>0</v>
      </c>
      <c r="AP270" s="16">
        <f t="shared" si="5"/>
        <v>18309.917876807602</v>
      </c>
    </row>
    <row r="271" spans="1:42" x14ac:dyDescent="0.25">
      <c r="A271" s="6" t="s">
        <v>38</v>
      </c>
      <c r="B271" s="6" t="s">
        <v>18</v>
      </c>
      <c r="C271" s="6" t="s">
        <v>139</v>
      </c>
      <c r="D271" s="7" t="s">
        <v>140</v>
      </c>
      <c r="E271" s="7" t="s">
        <v>21</v>
      </c>
      <c r="F271" s="7" t="s">
        <v>141</v>
      </c>
      <c r="G271" s="7" t="s">
        <v>23</v>
      </c>
      <c r="H271" s="7" t="s">
        <v>154</v>
      </c>
      <c r="I271" s="6" t="s">
        <v>143</v>
      </c>
      <c r="J271" s="6"/>
      <c r="K271" s="6"/>
      <c r="L271" s="6" t="s">
        <v>169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224296.4939908931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  <c r="AI271" s="10">
        <v>0</v>
      </c>
      <c r="AJ271" s="10">
        <v>0</v>
      </c>
      <c r="AK271" s="10">
        <v>224296.4939908931</v>
      </c>
      <c r="AL271" s="10">
        <v>0</v>
      </c>
      <c r="AM271" s="10">
        <v>0</v>
      </c>
      <c r="AN271" s="10">
        <v>0</v>
      </c>
      <c r="AO271" s="10">
        <v>0</v>
      </c>
      <c r="AP271" s="16">
        <f t="shared" si="5"/>
        <v>224296.4939908931</v>
      </c>
    </row>
    <row r="272" spans="1:42" x14ac:dyDescent="0.25">
      <c r="A272" s="6" t="s">
        <v>28</v>
      </c>
      <c r="B272" s="6" t="s">
        <v>18</v>
      </c>
      <c r="C272" s="6" t="s">
        <v>139</v>
      </c>
      <c r="D272" s="7" t="s">
        <v>140</v>
      </c>
      <c r="E272" s="7" t="s">
        <v>21</v>
      </c>
      <c r="F272" s="7" t="s">
        <v>141</v>
      </c>
      <c r="G272" s="7" t="s">
        <v>23</v>
      </c>
      <c r="H272" s="7" t="s">
        <v>145</v>
      </c>
      <c r="I272" s="6" t="s">
        <v>143</v>
      </c>
      <c r="J272" s="6"/>
      <c r="K272" s="6"/>
      <c r="L272" s="6" t="s">
        <v>170</v>
      </c>
      <c r="M272" s="10">
        <v>0</v>
      </c>
      <c r="N272" s="10">
        <v>0</v>
      </c>
      <c r="O272" s="10">
        <v>0</v>
      </c>
      <c r="P272" s="10">
        <v>0</v>
      </c>
      <c r="Q272" s="10">
        <v>181411.29234989389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  <c r="AI272" s="10">
        <v>0</v>
      </c>
      <c r="AJ272" s="10">
        <v>0</v>
      </c>
      <c r="AK272" s="10">
        <v>181411.29234989389</v>
      </c>
      <c r="AL272" s="10">
        <v>0</v>
      </c>
      <c r="AM272" s="10">
        <v>0</v>
      </c>
      <c r="AN272" s="10">
        <v>0</v>
      </c>
      <c r="AO272" s="10">
        <v>0</v>
      </c>
      <c r="AP272" s="16">
        <f t="shared" si="5"/>
        <v>181411.29234989389</v>
      </c>
    </row>
    <row r="273" spans="1:42" x14ac:dyDescent="0.25">
      <c r="A273" s="6" t="s">
        <v>30</v>
      </c>
      <c r="B273" s="6" t="s">
        <v>18</v>
      </c>
      <c r="C273" s="6" t="s">
        <v>139</v>
      </c>
      <c r="D273" s="7" t="s">
        <v>140</v>
      </c>
      <c r="E273" s="7" t="s">
        <v>21</v>
      </c>
      <c r="F273" s="7" t="s">
        <v>141</v>
      </c>
      <c r="G273" s="7" t="s">
        <v>23</v>
      </c>
      <c r="H273" s="7" t="s">
        <v>146</v>
      </c>
      <c r="I273" s="6" t="s">
        <v>143</v>
      </c>
      <c r="J273" s="6"/>
      <c r="K273" s="6"/>
      <c r="L273" s="6" t="s">
        <v>170</v>
      </c>
      <c r="M273" s="10">
        <v>0</v>
      </c>
      <c r="N273" s="10">
        <v>0</v>
      </c>
      <c r="O273" s="10">
        <v>0</v>
      </c>
      <c r="P273" s="10">
        <v>0</v>
      </c>
      <c r="Q273" s="10">
        <v>77799.992405986093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  <c r="AI273" s="10">
        <v>0</v>
      </c>
      <c r="AJ273" s="10">
        <v>0</v>
      </c>
      <c r="AK273" s="10">
        <v>77799.992405986093</v>
      </c>
      <c r="AL273" s="10">
        <v>0</v>
      </c>
      <c r="AM273" s="10">
        <v>0</v>
      </c>
      <c r="AN273" s="10">
        <v>0</v>
      </c>
      <c r="AO273" s="10">
        <v>0</v>
      </c>
      <c r="AP273" s="16">
        <f t="shared" si="5"/>
        <v>77799.992405986093</v>
      </c>
    </row>
    <row r="274" spans="1:42" x14ac:dyDescent="0.25">
      <c r="A274" s="6" t="s">
        <v>32</v>
      </c>
      <c r="B274" s="6" t="s">
        <v>18</v>
      </c>
      <c r="C274" s="6" t="s">
        <v>139</v>
      </c>
      <c r="D274" s="7" t="s">
        <v>140</v>
      </c>
      <c r="E274" s="7" t="s">
        <v>21</v>
      </c>
      <c r="F274" s="7" t="s">
        <v>141</v>
      </c>
      <c r="G274" s="7" t="s">
        <v>23</v>
      </c>
      <c r="H274" s="7" t="s">
        <v>147</v>
      </c>
      <c r="I274" s="6" t="s">
        <v>143</v>
      </c>
      <c r="J274" s="6"/>
      <c r="K274" s="6"/>
      <c r="L274" s="6" t="s">
        <v>170</v>
      </c>
      <c r="M274" s="10">
        <v>0</v>
      </c>
      <c r="N274" s="10">
        <v>0</v>
      </c>
      <c r="O274" s="10">
        <v>0</v>
      </c>
      <c r="P274" s="10">
        <v>0</v>
      </c>
      <c r="Q274" s="10">
        <v>16823.908299442755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  <c r="AI274" s="10">
        <v>0</v>
      </c>
      <c r="AJ274" s="10">
        <v>0</v>
      </c>
      <c r="AK274" s="10">
        <v>16823.908299442755</v>
      </c>
      <c r="AL274" s="10">
        <v>0</v>
      </c>
      <c r="AM274" s="10">
        <v>0</v>
      </c>
      <c r="AN274" s="10">
        <v>0</v>
      </c>
      <c r="AO274" s="10">
        <v>0</v>
      </c>
      <c r="AP274" s="16">
        <f t="shared" si="5"/>
        <v>16823.908299442755</v>
      </c>
    </row>
    <row r="275" spans="1:42" x14ac:dyDescent="0.25">
      <c r="A275" s="6" t="s">
        <v>34</v>
      </c>
      <c r="B275" s="6" t="s">
        <v>18</v>
      </c>
      <c r="C275" s="6" t="s">
        <v>139</v>
      </c>
      <c r="D275" s="7" t="s">
        <v>140</v>
      </c>
      <c r="E275" s="7" t="s">
        <v>21</v>
      </c>
      <c r="F275" s="7" t="s">
        <v>141</v>
      </c>
      <c r="G275" s="7" t="s">
        <v>23</v>
      </c>
      <c r="H275" s="7" t="s">
        <v>148</v>
      </c>
      <c r="I275" s="6" t="s">
        <v>143</v>
      </c>
      <c r="J275" s="6"/>
      <c r="K275" s="6"/>
      <c r="L275" s="6" t="s">
        <v>170</v>
      </c>
      <c r="M275" s="10">
        <v>0</v>
      </c>
      <c r="N275" s="10">
        <v>0</v>
      </c>
      <c r="O275" s="10">
        <v>0</v>
      </c>
      <c r="P275" s="10">
        <v>0</v>
      </c>
      <c r="Q275" s="10">
        <v>145271.90993006396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145271.90993006396</v>
      </c>
      <c r="AL275" s="10">
        <v>0</v>
      </c>
      <c r="AM275" s="10">
        <v>0</v>
      </c>
      <c r="AN275" s="10">
        <v>0</v>
      </c>
      <c r="AO275" s="10">
        <v>0</v>
      </c>
      <c r="AP275" s="16">
        <f t="shared" si="5"/>
        <v>145271.90993006396</v>
      </c>
    </row>
    <row r="276" spans="1:42" x14ac:dyDescent="0.25">
      <c r="A276" s="6" t="s">
        <v>42</v>
      </c>
      <c r="B276" s="6" t="s">
        <v>18</v>
      </c>
      <c r="C276" s="6" t="s">
        <v>139</v>
      </c>
      <c r="D276" s="7" t="s">
        <v>140</v>
      </c>
      <c r="E276" s="7" t="s">
        <v>21</v>
      </c>
      <c r="F276" s="7" t="s">
        <v>141</v>
      </c>
      <c r="G276" s="7" t="s">
        <v>23</v>
      </c>
      <c r="H276" s="7" t="s">
        <v>165</v>
      </c>
      <c r="I276" s="6" t="s">
        <v>143</v>
      </c>
      <c r="J276" s="6"/>
      <c r="K276" s="6"/>
      <c r="L276" s="6" t="s">
        <v>170</v>
      </c>
      <c r="M276" s="10">
        <v>0</v>
      </c>
      <c r="N276" s="10">
        <v>0</v>
      </c>
      <c r="O276" s="10">
        <v>0</v>
      </c>
      <c r="P276" s="10">
        <v>0</v>
      </c>
      <c r="Q276" s="10">
        <v>36440.843934803277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  <c r="AJ276" s="10">
        <v>0</v>
      </c>
      <c r="AK276" s="10">
        <v>36440.843934803277</v>
      </c>
      <c r="AL276" s="10">
        <v>0</v>
      </c>
      <c r="AM276" s="10">
        <v>0</v>
      </c>
      <c r="AN276" s="10">
        <v>0</v>
      </c>
      <c r="AO276" s="10">
        <v>0</v>
      </c>
      <c r="AP276" s="16">
        <f t="shared" si="5"/>
        <v>36440.843934803277</v>
      </c>
    </row>
    <row r="277" spans="1:42" x14ac:dyDescent="0.25">
      <c r="A277" s="6" t="s">
        <v>17</v>
      </c>
      <c r="B277" s="6" t="s">
        <v>18</v>
      </c>
      <c r="C277" s="6" t="s">
        <v>139</v>
      </c>
      <c r="D277" s="7" t="s">
        <v>140</v>
      </c>
      <c r="E277" s="7" t="s">
        <v>21</v>
      </c>
      <c r="F277" s="7" t="s">
        <v>141</v>
      </c>
      <c r="G277" s="7" t="s">
        <v>23</v>
      </c>
      <c r="H277" s="7" t="s">
        <v>142</v>
      </c>
      <c r="I277" s="6" t="s">
        <v>143</v>
      </c>
      <c r="J277" s="6"/>
      <c r="K277" s="6"/>
      <c r="L277" s="6" t="s">
        <v>171</v>
      </c>
      <c r="M277" s="10">
        <v>0</v>
      </c>
      <c r="N277" s="10">
        <v>0</v>
      </c>
      <c r="O277" s="10">
        <v>0</v>
      </c>
      <c r="P277" s="10">
        <v>0</v>
      </c>
      <c r="Q277" s="10">
        <v>18309.917876807602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18309.917876807602</v>
      </c>
      <c r="AL277" s="10">
        <v>0</v>
      </c>
      <c r="AM277" s="10">
        <v>0</v>
      </c>
      <c r="AN277" s="10">
        <v>0</v>
      </c>
      <c r="AO277" s="10">
        <v>0</v>
      </c>
      <c r="AP277" s="16">
        <f t="shared" si="5"/>
        <v>18309.917876807602</v>
      </c>
    </row>
    <row r="278" spans="1:42" x14ac:dyDescent="0.25">
      <c r="A278" s="6" t="s">
        <v>28</v>
      </c>
      <c r="B278" s="6" t="s">
        <v>18</v>
      </c>
      <c r="C278" s="6" t="s">
        <v>139</v>
      </c>
      <c r="D278" s="7" t="s">
        <v>140</v>
      </c>
      <c r="E278" s="7" t="s">
        <v>21</v>
      </c>
      <c r="F278" s="7" t="s">
        <v>141</v>
      </c>
      <c r="G278" s="7" t="s">
        <v>23</v>
      </c>
      <c r="H278" s="7" t="s">
        <v>145</v>
      </c>
      <c r="I278" s="6" t="s">
        <v>143</v>
      </c>
      <c r="J278" s="6"/>
      <c r="K278" s="6"/>
      <c r="L278" s="6" t="s">
        <v>171</v>
      </c>
      <c r="M278" s="10">
        <v>0</v>
      </c>
      <c r="N278" s="10">
        <v>0</v>
      </c>
      <c r="O278" s="10">
        <v>0</v>
      </c>
      <c r="P278" s="10">
        <v>0</v>
      </c>
      <c r="Q278" s="10">
        <v>461409.9304955515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0</v>
      </c>
      <c r="AK278" s="10">
        <v>461409.9304955515</v>
      </c>
      <c r="AL278" s="10">
        <v>0</v>
      </c>
      <c r="AM278" s="10">
        <v>0</v>
      </c>
      <c r="AN278" s="10">
        <v>0</v>
      </c>
      <c r="AO278" s="10">
        <v>0</v>
      </c>
      <c r="AP278" s="16">
        <f t="shared" si="5"/>
        <v>461409.9304955515</v>
      </c>
    </row>
    <row r="279" spans="1:42" x14ac:dyDescent="0.25">
      <c r="A279" s="6" t="s">
        <v>30</v>
      </c>
      <c r="B279" s="6" t="s">
        <v>18</v>
      </c>
      <c r="C279" s="6" t="s">
        <v>139</v>
      </c>
      <c r="D279" s="7" t="s">
        <v>140</v>
      </c>
      <c r="E279" s="7" t="s">
        <v>21</v>
      </c>
      <c r="F279" s="7" t="s">
        <v>141</v>
      </c>
      <c r="G279" s="7" t="s">
        <v>23</v>
      </c>
      <c r="H279" s="7" t="s">
        <v>146</v>
      </c>
      <c r="I279" s="6" t="s">
        <v>143</v>
      </c>
      <c r="J279" s="6"/>
      <c r="K279" s="6"/>
      <c r="L279" s="6" t="s">
        <v>171</v>
      </c>
      <c r="M279" s="10">
        <v>0</v>
      </c>
      <c r="N279" s="10">
        <v>0</v>
      </c>
      <c r="O279" s="10">
        <v>0</v>
      </c>
      <c r="P279" s="10">
        <v>0</v>
      </c>
      <c r="Q279" s="10">
        <v>168451.24446662993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  <c r="AI279" s="10">
        <v>0</v>
      </c>
      <c r="AJ279" s="10">
        <v>0</v>
      </c>
      <c r="AK279" s="10">
        <v>168451.24446662993</v>
      </c>
      <c r="AL279" s="10">
        <v>0</v>
      </c>
      <c r="AM279" s="10">
        <v>0</v>
      </c>
      <c r="AN279" s="10">
        <v>0</v>
      </c>
      <c r="AO279" s="10">
        <v>0</v>
      </c>
      <c r="AP279" s="16">
        <f t="shared" si="5"/>
        <v>168451.24446662993</v>
      </c>
    </row>
    <row r="280" spans="1:42" x14ac:dyDescent="0.25">
      <c r="A280" s="6" t="s">
        <v>32</v>
      </c>
      <c r="B280" s="6" t="s">
        <v>18</v>
      </c>
      <c r="C280" s="6" t="s">
        <v>139</v>
      </c>
      <c r="D280" s="7" t="s">
        <v>140</v>
      </c>
      <c r="E280" s="7" t="s">
        <v>21</v>
      </c>
      <c r="F280" s="7" t="s">
        <v>141</v>
      </c>
      <c r="G280" s="7" t="s">
        <v>23</v>
      </c>
      <c r="H280" s="7" t="s">
        <v>147</v>
      </c>
      <c r="I280" s="6" t="s">
        <v>143</v>
      </c>
      <c r="J280" s="6"/>
      <c r="K280" s="6"/>
      <c r="L280" s="6" t="s">
        <v>171</v>
      </c>
      <c r="M280" s="10">
        <v>0</v>
      </c>
      <c r="N280" s="10">
        <v>0</v>
      </c>
      <c r="O280" s="10">
        <v>0</v>
      </c>
      <c r="P280" s="10">
        <v>0</v>
      </c>
      <c r="Q280" s="10">
        <v>73239.671507230407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  <c r="AI280" s="10">
        <v>0</v>
      </c>
      <c r="AJ280" s="10">
        <v>0</v>
      </c>
      <c r="AK280" s="10">
        <v>73239.671507230407</v>
      </c>
      <c r="AL280" s="10">
        <v>0</v>
      </c>
      <c r="AM280" s="10">
        <v>0</v>
      </c>
      <c r="AN280" s="10">
        <v>0</v>
      </c>
      <c r="AO280" s="10">
        <v>0</v>
      </c>
      <c r="AP280" s="16">
        <f t="shared" si="5"/>
        <v>73239.671507230407</v>
      </c>
    </row>
    <row r="281" spans="1:42" x14ac:dyDescent="0.25">
      <c r="A281" s="6" t="s">
        <v>34</v>
      </c>
      <c r="B281" s="6" t="s">
        <v>18</v>
      </c>
      <c r="C281" s="6" t="s">
        <v>139</v>
      </c>
      <c r="D281" s="7" t="s">
        <v>140</v>
      </c>
      <c r="E281" s="7" t="s">
        <v>21</v>
      </c>
      <c r="F281" s="7" t="s">
        <v>141</v>
      </c>
      <c r="G281" s="7" t="s">
        <v>23</v>
      </c>
      <c r="H281" s="7" t="s">
        <v>148</v>
      </c>
      <c r="I281" s="6" t="s">
        <v>143</v>
      </c>
      <c r="J281" s="6"/>
      <c r="K281" s="6"/>
      <c r="L281" s="6" t="s">
        <v>171</v>
      </c>
      <c r="M281" s="10">
        <v>0</v>
      </c>
      <c r="N281" s="10">
        <v>0</v>
      </c>
      <c r="O281" s="10">
        <v>0</v>
      </c>
      <c r="P281" s="10">
        <v>0</v>
      </c>
      <c r="Q281" s="10">
        <v>512677.70055061288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512677.70055061288</v>
      </c>
      <c r="AL281" s="10">
        <v>0</v>
      </c>
      <c r="AM281" s="10">
        <v>0</v>
      </c>
      <c r="AN281" s="10">
        <v>0</v>
      </c>
      <c r="AO281" s="10">
        <v>0</v>
      </c>
      <c r="AP281" s="16">
        <f t="shared" si="5"/>
        <v>512677.70055061288</v>
      </c>
    </row>
    <row r="282" spans="1:42" x14ac:dyDescent="0.25">
      <c r="A282" s="6" t="s">
        <v>36</v>
      </c>
      <c r="B282" s="6" t="s">
        <v>18</v>
      </c>
      <c r="C282" s="6" t="s">
        <v>139</v>
      </c>
      <c r="D282" s="7" t="s">
        <v>140</v>
      </c>
      <c r="E282" s="7" t="s">
        <v>21</v>
      </c>
      <c r="F282" s="7" t="s">
        <v>141</v>
      </c>
      <c r="G282" s="7" t="s">
        <v>23</v>
      </c>
      <c r="H282" s="7" t="s">
        <v>149</v>
      </c>
      <c r="I282" s="6" t="s">
        <v>143</v>
      </c>
      <c r="J282" s="6"/>
      <c r="K282" s="6"/>
      <c r="L282" s="6" t="s">
        <v>171</v>
      </c>
      <c r="M282" s="10">
        <v>0</v>
      </c>
      <c r="N282" s="10">
        <v>0</v>
      </c>
      <c r="O282" s="10">
        <v>0</v>
      </c>
      <c r="P282" s="10">
        <v>0</v>
      </c>
      <c r="Q282" s="10">
        <v>1830.9917876807601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  <c r="AI282" s="10">
        <v>0</v>
      </c>
      <c r="AJ282" s="10">
        <v>0</v>
      </c>
      <c r="AK282" s="10">
        <v>1830.9917876807601</v>
      </c>
      <c r="AL282" s="10">
        <v>0</v>
      </c>
      <c r="AM282" s="10">
        <v>0</v>
      </c>
      <c r="AN282" s="10">
        <v>0</v>
      </c>
      <c r="AO282" s="10">
        <v>0</v>
      </c>
      <c r="AP282" s="16">
        <f t="shared" si="5"/>
        <v>1830.9917876807601</v>
      </c>
    </row>
    <row r="283" spans="1:42" x14ac:dyDescent="0.25">
      <c r="A283" s="6" t="s">
        <v>150</v>
      </c>
      <c r="B283" s="6" t="s">
        <v>18</v>
      </c>
      <c r="C283" s="6" t="s">
        <v>139</v>
      </c>
      <c r="D283" s="7" t="s">
        <v>140</v>
      </c>
      <c r="E283" s="7" t="s">
        <v>21</v>
      </c>
      <c r="F283" s="7" t="s">
        <v>141</v>
      </c>
      <c r="G283" s="7" t="s">
        <v>23</v>
      </c>
      <c r="H283" s="7" t="s">
        <v>151</v>
      </c>
      <c r="I283" s="6" t="s">
        <v>143</v>
      </c>
      <c r="J283" s="6"/>
      <c r="K283" s="6"/>
      <c r="L283" s="6" t="s">
        <v>171</v>
      </c>
      <c r="M283" s="10">
        <v>0</v>
      </c>
      <c r="N283" s="10">
        <v>0</v>
      </c>
      <c r="O283" s="10">
        <v>0</v>
      </c>
      <c r="P283" s="10">
        <v>0</v>
      </c>
      <c r="Q283" s="10">
        <v>3661.9835753615203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3661.9835753615203</v>
      </c>
      <c r="AL283" s="10">
        <v>0</v>
      </c>
      <c r="AM283" s="10">
        <v>0</v>
      </c>
      <c r="AN283" s="10">
        <v>0</v>
      </c>
      <c r="AO283" s="10">
        <v>0</v>
      </c>
      <c r="AP283" s="16">
        <f t="shared" si="5"/>
        <v>3661.9835753615203</v>
      </c>
    </row>
    <row r="284" spans="1:42" x14ac:dyDescent="0.25">
      <c r="A284" s="6" t="s">
        <v>152</v>
      </c>
      <c r="B284" s="6" t="s">
        <v>18</v>
      </c>
      <c r="C284" s="6" t="s">
        <v>139</v>
      </c>
      <c r="D284" s="7" t="s">
        <v>140</v>
      </c>
      <c r="E284" s="7" t="s">
        <v>21</v>
      </c>
      <c r="F284" s="7" t="s">
        <v>141</v>
      </c>
      <c r="G284" s="7" t="s">
        <v>23</v>
      </c>
      <c r="H284" s="7" t="s">
        <v>153</v>
      </c>
      <c r="I284" s="6" t="s">
        <v>143</v>
      </c>
      <c r="J284" s="6"/>
      <c r="K284" s="6"/>
      <c r="L284" s="6" t="s">
        <v>171</v>
      </c>
      <c r="M284" s="10">
        <v>0</v>
      </c>
      <c r="N284" s="10">
        <v>0</v>
      </c>
      <c r="O284" s="10">
        <v>0</v>
      </c>
      <c r="P284" s="10">
        <v>0</v>
      </c>
      <c r="Q284" s="10">
        <v>1830.9917876807601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0</v>
      </c>
      <c r="AJ284" s="10">
        <v>0</v>
      </c>
      <c r="AK284" s="10">
        <v>1830.9917876807601</v>
      </c>
      <c r="AL284" s="10">
        <v>0</v>
      </c>
      <c r="AM284" s="10">
        <v>0</v>
      </c>
      <c r="AN284" s="10">
        <v>0</v>
      </c>
      <c r="AO284" s="10">
        <v>0</v>
      </c>
      <c r="AP284" s="16">
        <f t="shared" si="5"/>
        <v>1830.9917876807601</v>
      </c>
    </row>
    <row r="285" spans="1:42" x14ac:dyDescent="0.25">
      <c r="A285" s="6" t="s">
        <v>38</v>
      </c>
      <c r="B285" s="6" t="s">
        <v>18</v>
      </c>
      <c r="C285" s="6" t="s">
        <v>139</v>
      </c>
      <c r="D285" s="7" t="s">
        <v>140</v>
      </c>
      <c r="E285" s="7" t="s">
        <v>21</v>
      </c>
      <c r="F285" s="7" t="s">
        <v>141</v>
      </c>
      <c r="G285" s="7" t="s">
        <v>23</v>
      </c>
      <c r="H285" s="7" t="s">
        <v>154</v>
      </c>
      <c r="I285" s="6" t="s">
        <v>143</v>
      </c>
      <c r="J285" s="6"/>
      <c r="K285" s="6"/>
      <c r="L285" s="6" t="s">
        <v>171</v>
      </c>
      <c r="M285" s="10">
        <v>0</v>
      </c>
      <c r="N285" s="10">
        <v>0</v>
      </c>
      <c r="O285" s="10">
        <v>0</v>
      </c>
      <c r="P285" s="10">
        <v>0</v>
      </c>
      <c r="Q285" s="10">
        <v>86056.614020995723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  <c r="AI285" s="10">
        <v>0</v>
      </c>
      <c r="AJ285" s="10">
        <v>0</v>
      </c>
      <c r="AK285" s="10">
        <v>86056.614020995723</v>
      </c>
      <c r="AL285" s="10">
        <v>0</v>
      </c>
      <c r="AM285" s="10">
        <v>0</v>
      </c>
      <c r="AN285" s="10">
        <v>0</v>
      </c>
      <c r="AO285" s="10">
        <v>0</v>
      </c>
      <c r="AP285" s="16">
        <f t="shared" si="5"/>
        <v>86056.614020995723</v>
      </c>
    </row>
    <row r="286" spans="1:42" x14ac:dyDescent="0.25">
      <c r="A286" s="6" t="s">
        <v>96</v>
      </c>
      <c r="B286" s="6" t="s">
        <v>18</v>
      </c>
      <c r="C286" s="6" t="s">
        <v>139</v>
      </c>
      <c r="D286" s="7" t="s">
        <v>140</v>
      </c>
      <c r="E286" s="7" t="s">
        <v>21</v>
      </c>
      <c r="F286" s="7" t="s">
        <v>141</v>
      </c>
      <c r="G286" s="7" t="s">
        <v>23</v>
      </c>
      <c r="H286" s="7" t="s">
        <v>155</v>
      </c>
      <c r="I286" s="6" t="s">
        <v>143</v>
      </c>
      <c r="J286" s="6"/>
      <c r="K286" s="6"/>
      <c r="L286" s="6" t="s">
        <v>171</v>
      </c>
      <c r="M286" s="10">
        <v>0</v>
      </c>
      <c r="N286" s="10">
        <v>0</v>
      </c>
      <c r="O286" s="10">
        <v>0</v>
      </c>
      <c r="P286" s="10">
        <v>0</v>
      </c>
      <c r="Q286" s="10">
        <v>1830.9917876807601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  <c r="AI286" s="10">
        <v>0</v>
      </c>
      <c r="AJ286" s="10">
        <v>0</v>
      </c>
      <c r="AK286" s="10">
        <v>1830.9917876807601</v>
      </c>
      <c r="AL286" s="10">
        <v>0</v>
      </c>
      <c r="AM286" s="10">
        <v>0</v>
      </c>
      <c r="AN286" s="10">
        <v>0</v>
      </c>
      <c r="AO286" s="10">
        <v>0</v>
      </c>
      <c r="AP286" s="16">
        <f t="shared" si="5"/>
        <v>1830.9917876807601</v>
      </c>
    </row>
    <row r="287" spans="1:42" x14ac:dyDescent="0.25">
      <c r="A287" s="6" t="s">
        <v>40</v>
      </c>
      <c r="B287" s="6" t="s">
        <v>18</v>
      </c>
      <c r="C287" s="6" t="s">
        <v>139</v>
      </c>
      <c r="D287" s="7" t="s">
        <v>140</v>
      </c>
      <c r="E287" s="7" t="s">
        <v>21</v>
      </c>
      <c r="F287" s="7" t="s">
        <v>141</v>
      </c>
      <c r="G287" s="7" t="s">
        <v>23</v>
      </c>
      <c r="H287" s="7" t="s">
        <v>156</v>
      </c>
      <c r="I287" s="6" t="s">
        <v>143</v>
      </c>
      <c r="J287" s="6"/>
      <c r="K287" s="6"/>
      <c r="L287" s="6" t="s">
        <v>171</v>
      </c>
      <c r="M287" s="10">
        <v>0</v>
      </c>
      <c r="N287" s="10">
        <v>0</v>
      </c>
      <c r="O287" s="10">
        <v>0</v>
      </c>
      <c r="P287" s="10">
        <v>0</v>
      </c>
      <c r="Q287" s="10">
        <v>294789.67781660234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  <c r="AI287" s="10">
        <v>0</v>
      </c>
      <c r="AJ287" s="10">
        <v>0</v>
      </c>
      <c r="AK287" s="10">
        <v>294789.67781660234</v>
      </c>
      <c r="AL287" s="10">
        <v>0</v>
      </c>
      <c r="AM287" s="10">
        <v>0</v>
      </c>
      <c r="AN287" s="10">
        <v>0</v>
      </c>
      <c r="AO287" s="10">
        <v>0</v>
      </c>
      <c r="AP287" s="16">
        <f t="shared" si="5"/>
        <v>294789.67781660234</v>
      </c>
    </row>
    <row r="288" spans="1:42" x14ac:dyDescent="0.25">
      <c r="A288" s="6" t="s">
        <v>58</v>
      </c>
      <c r="B288" s="6" t="s">
        <v>18</v>
      </c>
      <c r="C288" s="6" t="s">
        <v>139</v>
      </c>
      <c r="D288" s="7" t="s">
        <v>140</v>
      </c>
      <c r="E288" s="7" t="s">
        <v>21</v>
      </c>
      <c r="F288" s="7" t="s">
        <v>141</v>
      </c>
      <c r="G288" s="7" t="s">
        <v>23</v>
      </c>
      <c r="H288" s="7" t="s">
        <v>157</v>
      </c>
      <c r="I288" s="6" t="s">
        <v>143</v>
      </c>
      <c r="J288" s="6"/>
      <c r="K288" s="6"/>
      <c r="L288" s="6" t="s">
        <v>171</v>
      </c>
      <c r="M288" s="10">
        <v>0</v>
      </c>
      <c r="N288" s="10">
        <v>0</v>
      </c>
      <c r="O288" s="10">
        <v>0</v>
      </c>
      <c r="P288" s="10">
        <v>0</v>
      </c>
      <c r="Q288" s="10">
        <v>117183.47441156865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  <c r="AI288" s="10">
        <v>0</v>
      </c>
      <c r="AJ288" s="10">
        <v>0</v>
      </c>
      <c r="AK288" s="10">
        <v>117183.47441156865</v>
      </c>
      <c r="AL288" s="10">
        <v>0</v>
      </c>
      <c r="AM288" s="10">
        <v>0</v>
      </c>
      <c r="AN288" s="10">
        <v>0</v>
      </c>
      <c r="AO288" s="10">
        <v>0</v>
      </c>
      <c r="AP288" s="16">
        <f t="shared" si="5"/>
        <v>117183.47441156865</v>
      </c>
    </row>
    <row r="289" spans="1:42" x14ac:dyDescent="0.25">
      <c r="A289" s="6" t="s">
        <v>92</v>
      </c>
      <c r="B289" s="6" t="s">
        <v>18</v>
      </c>
      <c r="C289" s="6" t="s">
        <v>139</v>
      </c>
      <c r="D289" s="7" t="s">
        <v>140</v>
      </c>
      <c r="E289" s="7" t="s">
        <v>21</v>
      </c>
      <c r="F289" s="7" t="s">
        <v>141</v>
      </c>
      <c r="G289" s="7" t="s">
        <v>23</v>
      </c>
      <c r="H289" s="7" t="s">
        <v>158</v>
      </c>
      <c r="I289" s="6" t="s">
        <v>143</v>
      </c>
      <c r="J289" s="6"/>
      <c r="K289" s="6"/>
      <c r="L289" s="6" t="s">
        <v>171</v>
      </c>
      <c r="M289" s="10">
        <v>0</v>
      </c>
      <c r="N289" s="10">
        <v>0</v>
      </c>
      <c r="O289" s="10">
        <v>0</v>
      </c>
      <c r="P289" s="10">
        <v>0</v>
      </c>
      <c r="Q289" s="10">
        <v>3661.9835753615203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  <c r="AI289" s="10">
        <v>0</v>
      </c>
      <c r="AJ289" s="10">
        <v>0</v>
      </c>
      <c r="AK289" s="10">
        <v>3661.9835753615203</v>
      </c>
      <c r="AL289" s="10">
        <v>0</v>
      </c>
      <c r="AM289" s="10">
        <v>0</v>
      </c>
      <c r="AN289" s="10">
        <v>0</v>
      </c>
      <c r="AO289" s="10">
        <v>0</v>
      </c>
      <c r="AP289" s="16">
        <f t="shared" si="5"/>
        <v>3661.9835753615203</v>
      </c>
    </row>
    <row r="290" spans="1:42" x14ac:dyDescent="0.25">
      <c r="A290" s="6" t="s">
        <v>98</v>
      </c>
      <c r="B290" s="6" t="s">
        <v>18</v>
      </c>
      <c r="C290" s="6" t="s">
        <v>139</v>
      </c>
      <c r="D290" s="7" t="s">
        <v>140</v>
      </c>
      <c r="E290" s="7" t="s">
        <v>21</v>
      </c>
      <c r="F290" s="7" t="s">
        <v>141</v>
      </c>
      <c r="G290" s="7" t="s">
        <v>23</v>
      </c>
      <c r="H290" s="7" t="s">
        <v>159</v>
      </c>
      <c r="I290" s="6" t="s">
        <v>143</v>
      </c>
      <c r="J290" s="6"/>
      <c r="K290" s="6"/>
      <c r="L290" s="6" t="s">
        <v>171</v>
      </c>
      <c r="M290" s="10">
        <v>0</v>
      </c>
      <c r="N290" s="10">
        <v>0</v>
      </c>
      <c r="O290" s="10">
        <v>0</v>
      </c>
      <c r="P290" s="10">
        <v>0</v>
      </c>
      <c r="Q290" s="10">
        <v>5492.9753630422802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  <c r="AI290" s="10">
        <v>0</v>
      </c>
      <c r="AJ290" s="10">
        <v>0</v>
      </c>
      <c r="AK290" s="10">
        <v>5492.9753630422802</v>
      </c>
      <c r="AL290" s="10">
        <v>0</v>
      </c>
      <c r="AM290" s="10">
        <v>0</v>
      </c>
      <c r="AN290" s="10">
        <v>0</v>
      </c>
      <c r="AO290" s="10">
        <v>0</v>
      </c>
      <c r="AP290" s="16">
        <f t="shared" si="5"/>
        <v>5492.9753630422802</v>
      </c>
    </row>
    <row r="291" spans="1:42" x14ac:dyDescent="0.25">
      <c r="A291" s="6" t="s">
        <v>100</v>
      </c>
      <c r="B291" s="6" t="s">
        <v>18</v>
      </c>
      <c r="C291" s="6" t="s">
        <v>139</v>
      </c>
      <c r="D291" s="7" t="s">
        <v>140</v>
      </c>
      <c r="E291" s="7" t="s">
        <v>21</v>
      </c>
      <c r="F291" s="7" t="s">
        <v>141</v>
      </c>
      <c r="G291" s="7" t="s">
        <v>23</v>
      </c>
      <c r="H291" s="7" t="s">
        <v>160</v>
      </c>
      <c r="I291" s="6" t="s">
        <v>143</v>
      </c>
      <c r="J291" s="6"/>
      <c r="K291" s="6"/>
      <c r="L291" s="6" t="s">
        <v>171</v>
      </c>
      <c r="M291" s="10">
        <v>0</v>
      </c>
      <c r="N291" s="10">
        <v>0</v>
      </c>
      <c r="O291" s="10">
        <v>0</v>
      </c>
      <c r="P291" s="10">
        <v>0</v>
      </c>
      <c r="Q291" s="10">
        <v>7323.9671507230405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  <c r="AI291" s="10">
        <v>0</v>
      </c>
      <c r="AJ291" s="10">
        <v>0</v>
      </c>
      <c r="AK291" s="10">
        <v>7323.9671507230405</v>
      </c>
      <c r="AL291" s="10">
        <v>0</v>
      </c>
      <c r="AM291" s="10">
        <v>0</v>
      </c>
      <c r="AN291" s="10">
        <v>0</v>
      </c>
      <c r="AO291" s="10">
        <v>0</v>
      </c>
      <c r="AP291" s="16">
        <f t="shared" si="5"/>
        <v>7323.9671507230405</v>
      </c>
    </row>
    <row r="292" spans="1:42" x14ac:dyDescent="0.25">
      <c r="A292" s="6" t="s">
        <v>161</v>
      </c>
      <c r="B292" s="6" t="s">
        <v>18</v>
      </c>
      <c r="C292" s="6" t="s">
        <v>139</v>
      </c>
      <c r="D292" s="7" t="s">
        <v>140</v>
      </c>
      <c r="E292" s="7" t="s">
        <v>21</v>
      </c>
      <c r="F292" s="7" t="s">
        <v>141</v>
      </c>
      <c r="G292" s="7" t="s">
        <v>23</v>
      </c>
      <c r="H292" s="7" t="s">
        <v>162</v>
      </c>
      <c r="I292" s="6" t="s">
        <v>143</v>
      </c>
      <c r="J292" s="6"/>
      <c r="K292" s="6"/>
      <c r="L292" s="6" t="s">
        <v>171</v>
      </c>
      <c r="M292" s="10">
        <v>0</v>
      </c>
      <c r="N292" s="10">
        <v>0</v>
      </c>
      <c r="O292" s="10">
        <v>0</v>
      </c>
      <c r="P292" s="10">
        <v>0</v>
      </c>
      <c r="Q292" s="10">
        <v>1830.9917876807601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  <c r="AI292" s="10">
        <v>0</v>
      </c>
      <c r="AJ292" s="10">
        <v>0</v>
      </c>
      <c r="AK292" s="10">
        <v>1830.9917876807601</v>
      </c>
      <c r="AL292" s="10">
        <v>0</v>
      </c>
      <c r="AM292" s="10">
        <v>0</v>
      </c>
      <c r="AN292" s="10">
        <v>0</v>
      </c>
      <c r="AO292" s="10">
        <v>0</v>
      </c>
      <c r="AP292" s="16">
        <f t="shared" si="5"/>
        <v>1830.9917876807601</v>
      </c>
    </row>
    <row r="293" spans="1:42" x14ac:dyDescent="0.25">
      <c r="A293" s="6" t="s">
        <v>163</v>
      </c>
      <c r="B293" s="6" t="s">
        <v>18</v>
      </c>
      <c r="C293" s="6" t="s">
        <v>139</v>
      </c>
      <c r="D293" s="7" t="s">
        <v>140</v>
      </c>
      <c r="E293" s="7" t="s">
        <v>21</v>
      </c>
      <c r="F293" s="7" t="s">
        <v>141</v>
      </c>
      <c r="G293" s="7" t="s">
        <v>23</v>
      </c>
      <c r="H293" s="7" t="s">
        <v>164</v>
      </c>
      <c r="I293" s="6" t="s">
        <v>143</v>
      </c>
      <c r="J293" s="6"/>
      <c r="K293" s="6"/>
      <c r="L293" s="6" t="s">
        <v>171</v>
      </c>
      <c r="M293" s="10">
        <v>0</v>
      </c>
      <c r="N293" s="10">
        <v>0</v>
      </c>
      <c r="O293" s="10">
        <v>0</v>
      </c>
      <c r="P293" s="10">
        <v>0</v>
      </c>
      <c r="Q293" s="10">
        <v>3661.9835753615203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3661.9835753615203</v>
      </c>
      <c r="AL293" s="10">
        <v>0</v>
      </c>
      <c r="AM293" s="10">
        <v>0</v>
      </c>
      <c r="AN293" s="10">
        <v>0</v>
      </c>
      <c r="AO293" s="10">
        <v>0</v>
      </c>
      <c r="AP293" s="16">
        <f t="shared" si="5"/>
        <v>3661.9835753615203</v>
      </c>
    </row>
    <row r="294" spans="1:42" x14ac:dyDescent="0.25">
      <c r="A294" s="6" t="s">
        <v>42</v>
      </c>
      <c r="B294" s="6" t="s">
        <v>18</v>
      </c>
      <c r="C294" s="6" t="s">
        <v>139</v>
      </c>
      <c r="D294" s="7" t="s">
        <v>140</v>
      </c>
      <c r="E294" s="7" t="s">
        <v>21</v>
      </c>
      <c r="F294" s="7" t="s">
        <v>141</v>
      </c>
      <c r="G294" s="7" t="s">
        <v>23</v>
      </c>
      <c r="H294" s="7" t="s">
        <v>165</v>
      </c>
      <c r="I294" s="6" t="s">
        <v>143</v>
      </c>
      <c r="J294" s="6"/>
      <c r="K294" s="6"/>
      <c r="L294" s="6" t="s">
        <v>171</v>
      </c>
      <c r="M294" s="10">
        <v>0</v>
      </c>
      <c r="N294" s="10">
        <v>0</v>
      </c>
      <c r="O294" s="10">
        <v>0</v>
      </c>
      <c r="P294" s="10">
        <v>0</v>
      </c>
      <c r="Q294" s="10">
        <v>67746.696144188129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  <c r="AI294" s="10">
        <v>0</v>
      </c>
      <c r="AJ294" s="10">
        <v>0</v>
      </c>
      <c r="AK294" s="10">
        <v>67746.696144188129</v>
      </c>
      <c r="AL294" s="10">
        <v>0</v>
      </c>
      <c r="AM294" s="10">
        <v>0</v>
      </c>
      <c r="AN294" s="10">
        <v>0</v>
      </c>
      <c r="AO294" s="10">
        <v>0</v>
      </c>
      <c r="AP294" s="16">
        <f t="shared" si="5"/>
        <v>67746.696144188129</v>
      </c>
    </row>
    <row r="295" spans="1:42" x14ac:dyDescent="0.25">
      <c r="A295" s="6" t="s">
        <v>28</v>
      </c>
      <c r="B295" s="6" t="s">
        <v>18</v>
      </c>
      <c r="C295" s="6" t="s">
        <v>139</v>
      </c>
      <c r="D295" s="7" t="s">
        <v>140</v>
      </c>
      <c r="E295" s="7" t="s">
        <v>21</v>
      </c>
      <c r="F295" s="7" t="s">
        <v>141</v>
      </c>
      <c r="G295" s="7" t="s">
        <v>23</v>
      </c>
      <c r="H295" s="7" t="s">
        <v>145</v>
      </c>
      <c r="I295" s="6" t="s">
        <v>143</v>
      </c>
      <c r="J295" s="6"/>
      <c r="K295" s="6"/>
      <c r="L295" s="6" t="s">
        <v>172</v>
      </c>
      <c r="M295" s="10">
        <v>0</v>
      </c>
      <c r="N295" s="10">
        <v>0</v>
      </c>
      <c r="O295" s="10">
        <v>0</v>
      </c>
      <c r="P295" s="10">
        <v>0</v>
      </c>
      <c r="Q295" s="10">
        <v>1804442.406759389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  <c r="AI295" s="10">
        <v>0</v>
      </c>
      <c r="AJ295" s="10">
        <v>0</v>
      </c>
      <c r="AK295" s="10">
        <v>1804442.406759389</v>
      </c>
      <c r="AL295" s="10">
        <v>0</v>
      </c>
      <c r="AM295" s="10">
        <v>0</v>
      </c>
      <c r="AN295" s="10">
        <v>0</v>
      </c>
      <c r="AO295" s="10">
        <v>0</v>
      </c>
      <c r="AP295" s="16">
        <f t="shared" si="5"/>
        <v>1804442.406759389</v>
      </c>
    </row>
    <row r="296" spans="1:42" x14ac:dyDescent="0.25">
      <c r="A296" s="6" t="s">
        <v>30</v>
      </c>
      <c r="B296" s="6" t="s">
        <v>18</v>
      </c>
      <c r="C296" s="6" t="s">
        <v>139</v>
      </c>
      <c r="D296" s="7" t="s">
        <v>140</v>
      </c>
      <c r="E296" s="7" t="s">
        <v>21</v>
      </c>
      <c r="F296" s="7" t="s">
        <v>141</v>
      </c>
      <c r="G296" s="7" t="s">
        <v>23</v>
      </c>
      <c r="H296" s="7" t="s">
        <v>146</v>
      </c>
      <c r="I296" s="6" t="s">
        <v>143</v>
      </c>
      <c r="J296" s="6"/>
      <c r="K296" s="6"/>
      <c r="L296" s="6" t="s">
        <v>172</v>
      </c>
      <c r="M296" s="10">
        <v>0</v>
      </c>
      <c r="N296" s="10">
        <v>0</v>
      </c>
      <c r="O296" s="10">
        <v>0</v>
      </c>
      <c r="P296" s="10">
        <v>0</v>
      </c>
      <c r="Q296" s="10">
        <v>774509.52618896135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  <c r="AJ296" s="10">
        <v>0</v>
      </c>
      <c r="AK296" s="10">
        <v>774509.52618896135</v>
      </c>
      <c r="AL296" s="10">
        <v>0</v>
      </c>
      <c r="AM296" s="10">
        <v>0</v>
      </c>
      <c r="AN296" s="10">
        <v>0</v>
      </c>
      <c r="AO296" s="10">
        <v>0</v>
      </c>
      <c r="AP296" s="16">
        <f t="shared" si="5"/>
        <v>774509.52618896135</v>
      </c>
    </row>
    <row r="297" spans="1:42" x14ac:dyDescent="0.25">
      <c r="A297" s="6" t="s">
        <v>32</v>
      </c>
      <c r="B297" s="6" t="s">
        <v>18</v>
      </c>
      <c r="C297" s="6" t="s">
        <v>139</v>
      </c>
      <c r="D297" s="7" t="s">
        <v>140</v>
      </c>
      <c r="E297" s="7" t="s">
        <v>21</v>
      </c>
      <c r="F297" s="7" t="s">
        <v>141</v>
      </c>
      <c r="G297" s="7" t="s">
        <v>23</v>
      </c>
      <c r="H297" s="7" t="s">
        <v>147</v>
      </c>
      <c r="I297" s="6" t="s">
        <v>143</v>
      </c>
      <c r="J297" s="6"/>
      <c r="K297" s="6"/>
      <c r="L297" s="6" t="s">
        <v>172</v>
      </c>
      <c r="M297" s="10">
        <v>0</v>
      </c>
      <c r="N297" s="10">
        <v>0</v>
      </c>
      <c r="O297" s="10">
        <v>0</v>
      </c>
      <c r="P297" s="10">
        <v>0</v>
      </c>
      <c r="Q297" s="10">
        <v>167535.74857278954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167535.74857278954</v>
      </c>
      <c r="AL297" s="10">
        <v>0</v>
      </c>
      <c r="AM297" s="10">
        <v>0</v>
      </c>
      <c r="AN297" s="10">
        <v>0</v>
      </c>
      <c r="AO297" s="10">
        <v>0</v>
      </c>
      <c r="AP297" s="16">
        <f t="shared" si="5"/>
        <v>167535.74857278954</v>
      </c>
    </row>
    <row r="298" spans="1:42" x14ac:dyDescent="0.25">
      <c r="A298" s="6" t="s">
        <v>17</v>
      </c>
      <c r="B298" s="6" t="s">
        <v>18</v>
      </c>
      <c r="C298" s="6" t="s">
        <v>139</v>
      </c>
      <c r="D298" s="7" t="s">
        <v>140</v>
      </c>
      <c r="E298" s="7" t="s">
        <v>21</v>
      </c>
      <c r="F298" s="7" t="s">
        <v>141</v>
      </c>
      <c r="G298" s="7" t="s">
        <v>23</v>
      </c>
      <c r="H298" s="7" t="s">
        <v>142</v>
      </c>
      <c r="I298" s="6" t="s">
        <v>143</v>
      </c>
      <c r="J298" s="6"/>
      <c r="K298" s="6"/>
      <c r="L298" s="6" t="s">
        <v>173</v>
      </c>
      <c r="M298" s="10">
        <v>0</v>
      </c>
      <c r="N298" s="10">
        <v>0</v>
      </c>
      <c r="O298" s="10">
        <v>2746.4876815211401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0</v>
      </c>
      <c r="AJ298" s="10">
        <v>0</v>
      </c>
      <c r="AK298" s="10">
        <v>2746.4876815211401</v>
      </c>
      <c r="AL298" s="10">
        <v>0</v>
      </c>
      <c r="AM298" s="10">
        <v>0</v>
      </c>
      <c r="AN298" s="10">
        <v>0</v>
      </c>
      <c r="AO298" s="10">
        <v>0</v>
      </c>
      <c r="AP298" s="16">
        <f t="shared" si="5"/>
        <v>2746.4876815211401</v>
      </c>
    </row>
    <row r="299" spans="1:42" x14ac:dyDescent="0.25">
      <c r="A299" s="6" t="s">
        <v>28</v>
      </c>
      <c r="B299" s="6" t="s">
        <v>18</v>
      </c>
      <c r="C299" s="6" t="s">
        <v>139</v>
      </c>
      <c r="D299" s="7" t="s">
        <v>140</v>
      </c>
      <c r="E299" s="7" t="s">
        <v>21</v>
      </c>
      <c r="F299" s="7" t="s">
        <v>141</v>
      </c>
      <c r="G299" s="7" t="s">
        <v>23</v>
      </c>
      <c r="H299" s="7" t="s">
        <v>145</v>
      </c>
      <c r="I299" s="6" t="s">
        <v>143</v>
      </c>
      <c r="J299" s="6"/>
      <c r="K299" s="6"/>
      <c r="L299" s="6" t="s">
        <v>173</v>
      </c>
      <c r="M299" s="10">
        <v>0</v>
      </c>
      <c r="N299" s="10">
        <v>0</v>
      </c>
      <c r="O299" s="10">
        <v>870636.59504220134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870636.59504220134</v>
      </c>
      <c r="AL299" s="10">
        <v>0</v>
      </c>
      <c r="AM299" s="10">
        <v>0</v>
      </c>
      <c r="AN299" s="10">
        <v>0</v>
      </c>
      <c r="AO299" s="10">
        <v>0</v>
      </c>
      <c r="AP299" s="16">
        <f t="shared" si="5"/>
        <v>870636.59504220134</v>
      </c>
    </row>
    <row r="300" spans="1:42" x14ac:dyDescent="0.25">
      <c r="A300" s="6" t="s">
        <v>30</v>
      </c>
      <c r="B300" s="6" t="s">
        <v>18</v>
      </c>
      <c r="C300" s="6" t="s">
        <v>139</v>
      </c>
      <c r="D300" s="7" t="s">
        <v>140</v>
      </c>
      <c r="E300" s="7" t="s">
        <v>21</v>
      </c>
      <c r="F300" s="7" t="s">
        <v>141</v>
      </c>
      <c r="G300" s="7" t="s">
        <v>23</v>
      </c>
      <c r="H300" s="7" t="s">
        <v>146</v>
      </c>
      <c r="I300" s="6" t="s">
        <v>143</v>
      </c>
      <c r="J300" s="6"/>
      <c r="K300" s="6"/>
      <c r="L300" s="6" t="s">
        <v>173</v>
      </c>
      <c r="M300" s="10">
        <v>0</v>
      </c>
      <c r="N300" s="10">
        <v>0</v>
      </c>
      <c r="O300" s="10">
        <v>373522.32468687504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  <c r="AI300" s="10">
        <v>0</v>
      </c>
      <c r="AJ300" s="10">
        <v>0</v>
      </c>
      <c r="AK300" s="10">
        <v>373522.32468687504</v>
      </c>
      <c r="AL300" s="10">
        <v>0</v>
      </c>
      <c r="AM300" s="10">
        <v>0</v>
      </c>
      <c r="AN300" s="10">
        <v>0</v>
      </c>
      <c r="AO300" s="10">
        <v>0</v>
      </c>
      <c r="AP300" s="16">
        <f t="shared" si="5"/>
        <v>373522.32468687504</v>
      </c>
    </row>
    <row r="301" spans="1:42" x14ac:dyDescent="0.25">
      <c r="A301" s="6" t="s">
        <v>32</v>
      </c>
      <c r="B301" s="6" t="s">
        <v>18</v>
      </c>
      <c r="C301" s="6" t="s">
        <v>139</v>
      </c>
      <c r="D301" s="7" t="s">
        <v>140</v>
      </c>
      <c r="E301" s="7" t="s">
        <v>21</v>
      </c>
      <c r="F301" s="7" t="s">
        <v>141</v>
      </c>
      <c r="G301" s="7" t="s">
        <v>23</v>
      </c>
      <c r="H301" s="7" t="s">
        <v>147</v>
      </c>
      <c r="I301" s="6" t="s">
        <v>143</v>
      </c>
      <c r="J301" s="6"/>
      <c r="K301" s="6"/>
      <c r="L301" s="6" t="s">
        <v>173</v>
      </c>
      <c r="M301" s="10">
        <v>0</v>
      </c>
      <c r="N301" s="10">
        <v>0</v>
      </c>
      <c r="O301" s="10">
        <v>79648.142764113058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79648.142764113058</v>
      </c>
      <c r="AL301" s="10">
        <v>0</v>
      </c>
      <c r="AM301" s="10">
        <v>0</v>
      </c>
      <c r="AN301" s="10">
        <v>0</v>
      </c>
      <c r="AO301" s="10">
        <v>0</v>
      </c>
      <c r="AP301" s="16">
        <f t="shared" si="5"/>
        <v>79648.142764113058</v>
      </c>
    </row>
    <row r="302" spans="1:42" x14ac:dyDescent="0.25">
      <c r="A302" s="6" t="s">
        <v>34</v>
      </c>
      <c r="B302" s="6" t="s">
        <v>18</v>
      </c>
      <c r="C302" s="6" t="s">
        <v>139</v>
      </c>
      <c r="D302" s="7" t="s">
        <v>140</v>
      </c>
      <c r="E302" s="7" t="s">
        <v>21</v>
      </c>
      <c r="F302" s="7" t="s">
        <v>141</v>
      </c>
      <c r="G302" s="7" t="s">
        <v>23</v>
      </c>
      <c r="H302" s="7" t="s">
        <v>148</v>
      </c>
      <c r="I302" s="6" t="s">
        <v>143</v>
      </c>
      <c r="J302" s="6"/>
      <c r="K302" s="6"/>
      <c r="L302" s="6" t="s">
        <v>173</v>
      </c>
      <c r="M302" s="10">
        <v>0</v>
      </c>
      <c r="N302" s="10">
        <v>0</v>
      </c>
      <c r="O302" s="10">
        <v>694861.38342484843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  <c r="AI302" s="10">
        <v>0</v>
      </c>
      <c r="AJ302" s="10">
        <v>0</v>
      </c>
      <c r="AK302" s="10">
        <v>694861.38342484843</v>
      </c>
      <c r="AL302" s="10">
        <v>0</v>
      </c>
      <c r="AM302" s="10">
        <v>0</v>
      </c>
      <c r="AN302" s="10">
        <v>0</v>
      </c>
      <c r="AO302" s="10">
        <v>0</v>
      </c>
      <c r="AP302" s="16">
        <f t="shared" si="5"/>
        <v>694861.38342484843</v>
      </c>
    </row>
    <row r="303" spans="1:42" x14ac:dyDescent="0.25">
      <c r="A303" s="6" t="s">
        <v>38</v>
      </c>
      <c r="B303" s="6" t="s">
        <v>18</v>
      </c>
      <c r="C303" s="6" t="s">
        <v>139</v>
      </c>
      <c r="D303" s="7" t="s">
        <v>140</v>
      </c>
      <c r="E303" s="7" t="s">
        <v>21</v>
      </c>
      <c r="F303" s="7" t="s">
        <v>141</v>
      </c>
      <c r="G303" s="7" t="s">
        <v>23</v>
      </c>
      <c r="H303" s="7" t="s">
        <v>154</v>
      </c>
      <c r="I303" s="6" t="s">
        <v>143</v>
      </c>
      <c r="J303" s="6"/>
      <c r="K303" s="6"/>
      <c r="L303" s="6" t="s">
        <v>173</v>
      </c>
      <c r="M303" s="10">
        <v>0</v>
      </c>
      <c r="N303" s="10">
        <v>0</v>
      </c>
      <c r="O303" s="10">
        <v>513593.19644445321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513593.19644445321</v>
      </c>
      <c r="AL303" s="10">
        <v>0</v>
      </c>
      <c r="AM303" s="10">
        <v>0</v>
      </c>
      <c r="AN303" s="10">
        <v>0</v>
      </c>
      <c r="AO303" s="10">
        <v>0</v>
      </c>
      <c r="AP303" s="16">
        <f t="shared" si="5"/>
        <v>513593.19644445321</v>
      </c>
    </row>
    <row r="304" spans="1:42" x14ac:dyDescent="0.25">
      <c r="A304" s="6" t="s">
        <v>40</v>
      </c>
      <c r="B304" s="6" t="s">
        <v>18</v>
      </c>
      <c r="C304" s="6" t="s">
        <v>139</v>
      </c>
      <c r="D304" s="7" t="s">
        <v>140</v>
      </c>
      <c r="E304" s="7" t="s">
        <v>21</v>
      </c>
      <c r="F304" s="7" t="s">
        <v>141</v>
      </c>
      <c r="G304" s="7" t="s">
        <v>23</v>
      </c>
      <c r="H304" s="7" t="s">
        <v>156</v>
      </c>
      <c r="I304" s="6" t="s">
        <v>143</v>
      </c>
      <c r="J304" s="6"/>
      <c r="K304" s="6"/>
      <c r="L304" s="6" t="s">
        <v>173</v>
      </c>
      <c r="M304" s="10">
        <v>0</v>
      </c>
      <c r="N304" s="10">
        <v>0</v>
      </c>
      <c r="O304" s="10">
        <v>38450.827541295963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  <c r="AI304" s="10">
        <v>0</v>
      </c>
      <c r="AJ304" s="10">
        <v>0</v>
      </c>
      <c r="AK304" s="10">
        <v>38450.827541295963</v>
      </c>
      <c r="AL304" s="10">
        <v>0</v>
      </c>
      <c r="AM304" s="10">
        <v>0</v>
      </c>
      <c r="AN304" s="10">
        <v>0</v>
      </c>
      <c r="AO304" s="10">
        <v>0</v>
      </c>
      <c r="AP304" s="16">
        <f t="shared" si="5"/>
        <v>38450.827541295963</v>
      </c>
    </row>
    <row r="305" spans="1:42" x14ac:dyDescent="0.25">
      <c r="A305" s="6" t="s">
        <v>42</v>
      </c>
      <c r="B305" s="6" t="s">
        <v>18</v>
      </c>
      <c r="C305" s="6" t="s">
        <v>139</v>
      </c>
      <c r="D305" s="7" t="s">
        <v>140</v>
      </c>
      <c r="E305" s="7" t="s">
        <v>21</v>
      </c>
      <c r="F305" s="7" t="s">
        <v>141</v>
      </c>
      <c r="G305" s="7" t="s">
        <v>23</v>
      </c>
      <c r="H305" s="7" t="s">
        <v>165</v>
      </c>
      <c r="I305" s="6" t="s">
        <v>143</v>
      </c>
      <c r="J305" s="6"/>
      <c r="K305" s="6"/>
      <c r="L305" s="6" t="s">
        <v>173</v>
      </c>
      <c r="M305" s="10">
        <v>0</v>
      </c>
      <c r="N305" s="10">
        <v>0</v>
      </c>
      <c r="O305" s="10">
        <v>173028.72393583183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173028.72393583183</v>
      </c>
      <c r="AL305" s="10">
        <v>0</v>
      </c>
      <c r="AM305" s="10">
        <v>0</v>
      </c>
      <c r="AN305" s="10">
        <v>0</v>
      </c>
      <c r="AO305" s="10">
        <v>0</v>
      </c>
      <c r="AP305" s="16">
        <f t="shared" si="5"/>
        <v>173028.72393583183</v>
      </c>
    </row>
    <row r="306" spans="1:42" x14ac:dyDescent="0.25">
      <c r="A306" s="6" t="s">
        <v>17</v>
      </c>
      <c r="B306" s="6" t="s">
        <v>18</v>
      </c>
      <c r="C306" s="6" t="s">
        <v>139</v>
      </c>
      <c r="D306" s="7" t="s">
        <v>140</v>
      </c>
      <c r="E306" s="7" t="s">
        <v>21</v>
      </c>
      <c r="F306" s="7" t="s">
        <v>141</v>
      </c>
      <c r="G306" s="7" t="s">
        <v>23</v>
      </c>
      <c r="H306" s="7" t="s">
        <v>142</v>
      </c>
      <c r="I306" s="6" t="s">
        <v>143</v>
      </c>
      <c r="J306" s="6"/>
      <c r="K306" s="6" t="s">
        <v>174</v>
      </c>
      <c r="L306" s="6" t="s">
        <v>175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5369.225920567972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0">
        <v>5369.225920567972</v>
      </c>
      <c r="AM306" s="10">
        <v>0</v>
      </c>
      <c r="AN306" s="10">
        <v>0</v>
      </c>
      <c r="AO306" s="10">
        <v>0</v>
      </c>
      <c r="AP306" s="16">
        <f t="shared" si="5"/>
        <v>5369.225920567972</v>
      </c>
    </row>
    <row r="307" spans="1:42" x14ac:dyDescent="0.25">
      <c r="A307" s="6" t="s">
        <v>28</v>
      </c>
      <c r="B307" s="6" t="s">
        <v>18</v>
      </c>
      <c r="C307" s="6" t="s">
        <v>139</v>
      </c>
      <c r="D307" s="7" t="s">
        <v>140</v>
      </c>
      <c r="E307" s="7" t="s">
        <v>21</v>
      </c>
      <c r="F307" s="7" t="s">
        <v>141</v>
      </c>
      <c r="G307" s="7" t="s">
        <v>23</v>
      </c>
      <c r="H307" s="7" t="s">
        <v>145</v>
      </c>
      <c r="I307" s="6" t="s">
        <v>143</v>
      </c>
      <c r="J307" s="6"/>
      <c r="K307" s="6" t="s">
        <v>174</v>
      </c>
      <c r="L307" s="6" t="s">
        <v>175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1705601.1862822925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1705601.1862822925</v>
      </c>
      <c r="AM307" s="10">
        <v>0</v>
      </c>
      <c r="AN307" s="10">
        <v>0</v>
      </c>
      <c r="AO307" s="10">
        <v>0</v>
      </c>
      <c r="AP307" s="16">
        <f t="shared" si="5"/>
        <v>1705601.1862822925</v>
      </c>
    </row>
    <row r="308" spans="1:42" x14ac:dyDescent="0.25">
      <c r="A308" s="6" t="s">
        <v>30</v>
      </c>
      <c r="B308" s="6" t="s">
        <v>18</v>
      </c>
      <c r="C308" s="6" t="s">
        <v>139</v>
      </c>
      <c r="D308" s="7" t="s">
        <v>140</v>
      </c>
      <c r="E308" s="7" t="s">
        <v>21</v>
      </c>
      <c r="F308" s="7" t="s">
        <v>141</v>
      </c>
      <c r="G308" s="7" t="s">
        <v>23</v>
      </c>
      <c r="H308" s="7" t="s">
        <v>146</v>
      </c>
      <c r="I308" s="6" t="s">
        <v>143</v>
      </c>
      <c r="J308" s="6"/>
      <c r="K308" s="6" t="s">
        <v>174</v>
      </c>
      <c r="L308" s="6" t="s">
        <v>175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682085.82493789284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0">
        <v>682085.82493789284</v>
      </c>
      <c r="AM308" s="10">
        <v>0</v>
      </c>
      <c r="AN308" s="10">
        <v>0</v>
      </c>
      <c r="AO308" s="10">
        <v>0</v>
      </c>
      <c r="AP308" s="16">
        <f t="shared" si="5"/>
        <v>682085.82493789284</v>
      </c>
    </row>
    <row r="309" spans="1:42" x14ac:dyDescent="0.25">
      <c r="A309" s="6" t="s">
        <v>32</v>
      </c>
      <c r="B309" s="6" t="s">
        <v>18</v>
      </c>
      <c r="C309" s="6" t="s">
        <v>139</v>
      </c>
      <c r="D309" s="7" t="s">
        <v>140</v>
      </c>
      <c r="E309" s="7" t="s">
        <v>21</v>
      </c>
      <c r="F309" s="7" t="s">
        <v>141</v>
      </c>
      <c r="G309" s="7" t="s">
        <v>23</v>
      </c>
      <c r="H309" s="7" t="s">
        <v>147</v>
      </c>
      <c r="I309" s="6" t="s">
        <v>143</v>
      </c>
      <c r="J309" s="6"/>
      <c r="K309" s="6" t="s">
        <v>174</v>
      </c>
      <c r="L309" s="6" t="s">
        <v>175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154721.44235940042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154721.44235940042</v>
      </c>
      <c r="AM309" s="10">
        <v>0</v>
      </c>
      <c r="AN309" s="10">
        <v>0</v>
      </c>
      <c r="AO309" s="10">
        <v>0</v>
      </c>
      <c r="AP309" s="16">
        <f t="shared" si="5"/>
        <v>154721.44235940042</v>
      </c>
    </row>
    <row r="310" spans="1:42" x14ac:dyDescent="0.25">
      <c r="A310" s="6" t="s">
        <v>34</v>
      </c>
      <c r="B310" s="6" t="s">
        <v>18</v>
      </c>
      <c r="C310" s="6" t="s">
        <v>139</v>
      </c>
      <c r="D310" s="7" t="s">
        <v>140</v>
      </c>
      <c r="E310" s="7" t="s">
        <v>21</v>
      </c>
      <c r="F310" s="7" t="s">
        <v>141</v>
      </c>
      <c r="G310" s="7" t="s">
        <v>23</v>
      </c>
      <c r="H310" s="7" t="s">
        <v>148</v>
      </c>
      <c r="I310" s="6" t="s">
        <v>143</v>
      </c>
      <c r="J310" s="6"/>
      <c r="K310" s="6" t="s">
        <v>174</v>
      </c>
      <c r="L310" s="6" t="s">
        <v>175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1360518.4633044184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  <c r="AI310" s="10">
        <v>0</v>
      </c>
      <c r="AJ310" s="10">
        <v>0</v>
      </c>
      <c r="AK310" s="10">
        <v>0</v>
      </c>
      <c r="AL310" s="10">
        <v>1360518.4633044184</v>
      </c>
      <c r="AM310" s="10">
        <v>0</v>
      </c>
      <c r="AN310" s="10">
        <v>0</v>
      </c>
      <c r="AO310" s="10">
        <v>0</v>
      </c>
      <c r="AP310" s="16">
        <f t="shared" si="5"/>
        <v>1360518.4633044184</v>
      </c>
    </row>
    <row r="311" spans="1:42" x14ac:dyDescent="0.25">
      <c r="A311" s="6" t="s">
        <v>38</v>
      </c>
      <c r="B311" s="6" t="s">
        <v>18</v>
      </c>
      <c r="C311" s="6" t="s">
        <v>139</v>
      </c>
      <c r="D311" s="7" t="s">
        <v>140</v>
      </c>
      <c r="E311" s="7" t="s">
        <v>21</v>
      </c>
      <c r="F311" s="7" t="s">
        <v>141</v>
      </c>
      <c r="G311" s="7" t="s">
        <v>23</v>
      </c>
      <c r="H311" s="7" t="s">
        <v>154</v>
      </c>
      <c r="I311" s="6" t="s">
        <v>143</v>
      </c>
      <c r="J311" s="6"/>
      <c r="K311" s="6" t="s">
        <v>174</v>
      </c>
      <c r="L311" s="6" t="s">
        <v>175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947246.12293816893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947246.12293816893</v>
      </c>
      <c r="AM311" s="10">
        <v>0</v>
      </c>
      <c r="AN311" s="10">
        <v>0</v>
      </c>
      <c r="AO311" s="10">
        <v>0</v>
      </c>
      <c r="AP311" s="16">
        <f t="shared" si="5"/>
        <v>947246.12293816893</v>
      </c>
    </row>
    <row r="312" spans="1:42" x14ac:dyDescent="0.25">
      <c r="A312" s="6" t="s">
        <v>40</v>
      </c>
      <c r="B312" s="6" t="s">
        <v>18</v>
      </c>
      <c r="C312" s="6" t="s">
        <v>139</v>
      </c>
      <c r="D312" s="7" t="s">
        <v>140</v>
      </c>
      <c r="E312" s="7" t="s">
        <v>21</v>
      </c>
      <c r="F312" s="7" t="s">
        <v>141</v>
      </c>
      <c r="G312" s="7" t="s">
        <v>23</v>
      </c>
      <c r="H312" s="7" t="s">
        <v>156</v>
      </c>
      <c r="I312" s="6" t="s">
        <v>143</v>
      </c>
      <c r="J312" s="6"/>
      <c r="K312" s="6" t="s">
        <v>174</v>
      </c>
      <c r="L312" s="6" t="s">
        <v>175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77188.761222172543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77188.761222172543</v>
      </c>
      <c r="AM312" s="10">
        <v>0</v>
      </c>
      <c r="AN312" s="10">
        <v>0</v>
      </c>
      <c r="AO312" s="10">
        <v>0</v>
      </c>
      <c r="AP312" s="16">
        <f t="shared" si="5"/>
        <v>77188.761222172543</v>
      </c>
    </row>
    <row r="313" spans="1:42" x14ac:dyDescent="0.25">
      <c r="A313" s="6" t="s">
        <v>42</v>
      </c>
      <c r="B313" s="6" t="s">
        <v>18</v>
      </c>
      <c r="C313" s="6" t="s">
        <v>139</v>
      </c>
      <c r="D313" s="7" t="s">
        <v>140</v>
      </c>
      <c r="E313" s="7" t="s">
        <v>21</v>
      </c>
      <c r="F313" s="7" t="s">
        <v>141</v>
      </c>
      <c r="G313" s="7" t="s">
        <v>23</v>
      </c>
      <c r="H313" s="7" t="s">
        <v>165</v>
      </c>
      <c r="I313" s="6" t="s">
        <v>143</v>
      </c>
      <c r="J313" s="6"/>
      <c r="K313" s="6" t="s">
        <v>174</v>
      </c>
      <c r="L313" s="6" t="s">
        <v>175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352193.04157467745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352193.04157467745</v>
      </c>
      <c r="AM313" s="10">
        <v>0</v>
      </c>
      <c r="AN313" s="10">
        <v>0</v>
      </c>
      <c r="AO313" s="10">
        <v>0</v>
      </c>
      <c r="AP313" s="16">
        <f t="shared" si="5"/>
        <v>352193.04157467745</v>
      </c>
    </row>
    <row r="314" spans="1:42" x14ac:dyDescent="0.25">
      <c r="A314" s="6" t="s">
        <v>28</v>
      </c>
      <c r="B314" s="6" t="s">
        <v>18</v>
      </c>
      <c r="C314" s="6" t="s">
        <v>139</v>
      </c>
      <c r="D314" s="7" t="s">
        <v>140</v>
      </c>
      <c r="E314" s="7" t="s">
        <v>21</v>
      </c>
      <c r="F314" s="7" t="s">
        <v>141</v>
      </c>
      <c r="G314" s="7" t="s">
        <v>23</v>
      </c>
      <c r="H314" s="7" t="s">
        <v>145</v>
      </c>
      <c r="I314" s="6" t="s">
        <v>143</v>
      </c>
      <c r="J314" s="6"/>
      <c r="K314" s="6"/>
      <c r="L314" s="6" t="s">
        <v>176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985512.06491433189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  <c r="AI314" s="10">
        <v>0</v>
      </c>
      <c r="AJ314" s="10">
        <v>0</v>
      </c>
      <c r="AK314" s="10">
        <v>985512.06491433189</v>
      </c>
      <c r="AL314" s="10">
        <v>0</v>
      </c>
      <c r="AM314" s="10">
        <v>0</v>
      </c>
      <c r="AN314" s="10">
        <v>0</v>
      </c>
      <c r="AO314" s="10">
        <v>0</v>
      </c>
      <c r="AP314" s="16">
        <f t="shared" si="5"/>
        <v>985512.06491433189</v>
      </c>
    </row>
    <row r="315" spans="1:42" x14ac:dyDescent="0.25">
      <c r="A315" s="6" t="s">
        <v>30</v>
      </c>
      <c r="B315" s="6" t="s">
        <v>18</v>
      </c>
      <c r="C315" s="6" t="s">
        <v>139</v>
      </c>
      <c r="D315" s="7" t="s">
        <v>140</v>
      </c>
      <c r="E315" s="7" t="s">
        <v>21</v>
      </c>
      <c r="F315" s="7" t="s">
        <v>141</v>
      </c>
      <c r="G315" s="7" t="s">
        <v>23</v>
      </c>
      <c r="H315" s="7" t="s">
        <v>146</v>
      </c>
      <c r="I315" s="6" t="s">
        <v>143</v>
      </c>
      <c r="J315" s="6"/>
      <c r="K315" s="6"/>
      <c r="L315" s="6" t="s">
        <v>176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422646.40845312364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  <c r="AI315" s="10">
        <v>0</v>
      </c>
      <c r="AJ315" s="10">
        <v>0</v>
      </c>
      <c r="AK315" s="10">
        <v>422646.40845312364</v>
      </c>
      <c r="AL315" s="10">
        <v>0</v>
      </c>
      <c r="AM315" s="10">
        <v>0</v>
      </c>
      <c r="AN315" s="10">
        <v>0</v>
      </c>
      <c r="AO315" s="10">
        <v>0</v>
      </c>
      <c r="AP315" s="16">
        <f t="shared" si="5"/>
        <v>422646.40845312364</v>
      </c>
    </row>
    <row r="316" spans="1:42" x14ac:dyDescent="0.25">
      <c r="A316" s="6" t="s">
        <v>32</v>
      </c>
      <c r="B316" s="6" t="s">
        <v>18</v>
      </c>
      <c r="C316" s="6" t="s">
        <v>139</v>
      </c>
      <c r="D316" s="7" t="s">
        <v>140</v>
      </c>
      <c r="E316" s="7" t="s">
        <v>21</v>
      </c>
      <c r="F316" s="7" t="s">
        <v>141</v>
      </c>
      <c r="G316" s="7" t="s">
        <v>23</v>
      </c>
      <c r="H316" s="7" t="s">
        <v>147</v>
      </c>
      <c r="I316" s="6" t="s">
        <v>143</v>
      </c>
      <c r="J316" s="6"/>
      <c r="K316" s="6"/>
      <c r="L316" s="6" t="s">
        <v>176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91395.438680295803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  <c r="AI316" s="10">
        <v>0</v>
      </c>
      <c r="AJ316" s="10">
        <v>0</v>
      </c>
      <c r="AK316" s="10">
        <v>91395.438680295803</v>
      </c>
      <c r="AL316" s="10">
        <v>0</v>
      </c>
      <c r="AM316" s="10">
        <v>0</v>
      </c>
      <c r="AN316" s="10">
        <v>0</v>
      </c>
      <c r="AO316" s="10">
        <v>0</v>
      </c>
      <c r="AP316" s="16">
        <f t="shared" si="5"/>
        <v>91395.438680295803</v>
      </c>
    </row>
    <row r="317" spans="1:42" x14ac:dyDescent="0.25">
      <c r="A317" s="6" t="s">
        <v>34</v>
      </c>
      <c r="B317" s="6" t="s">
        <v>18</v>
      </c>
      <c r="C317" s="6" t="s">
        <v>139</v>
      </c>
      <c r="D317" s="7" t="s">
        <v>140</v>
      </c>
      <c r="E317" s="7" t="s">
        <v>21</v>
      </c>
      <c r="F317" s="7" t="s">
        <v>141</v>
      </c>
      <c r="G317" s="7" t="s">
        <v>23</v>
      </c>
      <c r="H317" s="7" t="s">
        <v>148</v>
      </c>
      <c r="I317" s="6" t="s">
        <v>143</v>
      </c>
      <c r="J317" s="6"/>
      <c r="K317" s="6"/>
      <c r="L317" s="6" t="s">
        <v>176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789185.82255319878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  <c r="AI317" s="10">
        <v>0</v>
      </c>
      <c r="AJ317" s="10">
        <v>0</v>
      </c>
      <c r="AK317" s="10">
        <v>789185.82255319878</v>
      </c>
      <c r="AL317" s="10">
        <v>0</v>
      </c>
      <c r="AM317" s="10">
        <v>0</v>
      </c>
      <c r="AN317" s="10">
        <v>0</v>
      </c>
      <c r="AO317" s="10">
        <v>0</v>
      </c>
      <c r="AP317" s="16">
        <f t="shared" si="5"/>
        <v>789185.82255319878</v>
      </c>
    </row>
    <row r="318" spans="1:42" x14ac:dyDescent="0.25">
      <c r="A318" s="6" t="s">
        <v>17</v>
      </c>
      <c r="B318" s="6" t="s">
        <v>18</v>
      </c>
      <c r="C318" s="6" t="s">
        <v>139</v>
      </c>
      <c r="D318" s="7" t="s">
        <v>140</v>
      </c>
      <c r="E318" s="7" t="s">
        <v>21</v>
      </c>
      <c r="F318" s="7" t="s">
        <v>141</v>
      </c>
      <c r="G318" s="7" t="s">
        <v>23</v>
      </c>
      <c r="H318" s="7" t="s">
        <v>142</v>
      </c>
      <c r="I318" s="6" t="s">
        <v>143</v>
      </c>
      <c r="J318" s="6"/>
      <c r="K318" s="6" t="s">
        <v>177</v>
      </c>
      <c r="L318" s="6" t="s">
        <v>178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  <c r="AI318" s="10">
        <v>0</v>
      </c>
      <c r="AJ318" s="10">
        <v>0</v>
      </c>
      <c r="AK318" s="10">
        <v>0</v>
      </c>
      <c r="AL318" s="10">
        <v>0</v>
      </c>
      <c r="AM318" s="10">
        <v>0</v>
      </c>
      <c r="AN318" s="10">
        <v>0</v>
      </c>
      <c r="AO318" s="10">
        <v>0</v>
      </c>
      <c r="AP318" s="16">
        <f t="shared" si="5"/>
        <v>0</v>
      </c>
    </row>
    <row r="319" spans="1:42" x14ac:dyDescent="0.25">
      <c r="A319" s="6" t="s">
        <v>28</v>
      </c>
      <c r="B319" s="6" t="s">
        <v>18</v>
      </c>
      <c r="C319" s="6" t="s">
        <v>139</v>
      </c>
      <c r="D319" s="7" t="s">
        <v>140</v>
      </c>
      <c r="E319" s="7" t="s">
        <v>21</v>
      </c>
      <c r="F319" s="7" t="s">
        <v>141</v>
      </c>
      <c r="G319" s="7" t="s">
        <v>23</v>
      </c>
      <c r="H319" s="7" t="s">
        <v>145</v>
      </c>
      <c r="I319" s="6" t="s">
        <v>143</v>
      </c>
      <c r="J319" s="6"/>
      <c r="K319" s="6" t="s">
        <v>177</v>
      </c>
      <c r="L319" s="6" t="s">
        <v>178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0">
        <v>0</v>
      </c>
      <c r="AM319" s="10">
        <v>0</v>
      </c>
      <c r="AN319" s="10">
        <v>0</v>
      </c>
      <c r="AO319" s="10">
        <v>0</v>
      </c>
      <c r="AP319" s="16">
        <f t="shared" si="5"/>
        <v>0</v>
      </c>
    </row>
    <row r="320" spans="1:42" x14ac:dyDescent="0.25">
      <c r="A320" s="6" t="s">
        <v>30</v>
      </c>
      <c r="B320" s="6" t="s">
        <v>18</v>
      </c>
      <c r="C320" s="6" t="s">
        <v>139</v>
      </c>
      <c r="D320" s="7" t="s">
        <v>140</v>
      </c>
      <c r="E320" s="7" t="s">
        <v>21</v>
      </c>
      <c r="F320" s="7" t="s">
        <v>141</v>
      </c>
      <c r="G320" s="7" t="s">
        <v>23</v>
      </c>
      <c r="H320" s="7" t="s">
        <v>146</v>
      </c>
      <c r="I320" s="6" t="s">
        <v>143</v>
      </c>
      <c r="J320" s="6"/>
      <c r="K320" s="6" t="s">
        <v>177</v>
      </c>
      <c r="L320" s="6" t="s">
        <v>178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  <c r="AJ320" s="10">
        <v>0</v>
      </c>
      <c r="AK320" s="10">
        <v>0</v>
      </c>
      <c r="AL320" s="10">
        <v>0</v>
      </c>
      <c r="AM320" s="10">
        <v>0</v>
      </c>
      <c r="AN320" s="10">
        <v>0</v>
      </c>
      <c r="AO320" s="10">
        <v>0</v>
      </c>
      <c r="AP320" s="16">
        <f t="shared" si="5"/>
        <v>0</v>
      </c>
    </row>
    <row r="321" spans="1:42" x14ac:dyDescent="0.25">
      <c r="A321" s="6" t="s">
        <v>32</v>
      </c>
      <c r="B321" s="6" t="s">
        <v>18</v>
      </c>
      <c r="C321" s="6" t="s">
        <v>139</v>
      </c>
      <c r="D321" s="7" t="s">
        <v>140</v>
      </c>
      <c r="E321" s="7" t="s">
        <v>21</v>
      </c>
      <c r="F321" s="7" t="s">
        <v>141</v>
      </c>
      <c r="G321" s="7" t="s">
        <v>23</v>
      </c>
      <c r="H321" s="7" t="s">
        <v>147</v>
      </c>
      <c r="I321" s="6" t="s">
        <v>143</v>
      </c>
      <c r="J321" s="6"/>
      <c r="K321" s="6" t="s">
        <v>177</v>
      </c>
      <c r="L321" s="6" t="s">
        <v>178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0">
        <v>0</v>
      </c>
      <c r="AM321" s="10">
        <v>0</v>
      </c>
      <c r="AN321" s="10">
        <v>0</v>
      </c>
      <c r="AO321" s="10">
        <v>0</v>
      </c>
      <c r="AP321" s="16">
        <f t="shared" si="5"/>
        <v>0</v>
      </c>
    </row>
    <row r="322" spans="1:42" x14ac:dyDescent="0.25">
      <c r="A322" s="6" t="s">
        <v>34</v>
      </c>
      <c r="B322" s="6" t="s">
        <v>18</v>
      </c>
      <c r="C322" s="6" t="s">
        <v>139</v>
      </c>
      <c r="D322" s="7" t="s">
        <v>140</v>
      </c>
      <c r="E322" s="7" t="s">
        <v>21</v>
      </c>
      <c r="F322" s="7" t="s">
        <v>141</v>
      </c>
      <c r="G322" s="7" t="s">
        <v>23</v>
      </c>
      <c r="H322" s="7" t="s">
        <v>148</v>
      </c>
      <c r="I322" s="6" t="s">
        <v>143</v>
      </c>
      <c r="J322" s="6"/>
      <c r="K322" s="6" t="s">
        <v>177</v>
      </c>
      <c r="L322" s="6" t="s">
        <v>178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  <c r="AI322" s="10">
        <v>0</v>
      </c>
      <c r="AJ322" s="10">
        <v>0</v>
      </c>
      <c r="AK322" s="10">
        <v>0</v>
      </c>
      <c r="AL322" s="10">
        <v>0</v>
      </c>
      <c r="AM322" s="10">
        <v>0</v>
      </c>
      <c r="AN322" s="10">
        <v>0</v>
      </c>
      <c r="AO322" s="10">
        <v>0</v>
      </c>
      <c r="AP322" s="16">
        <f t="shared" si="5"/>
        <v>0</v>
      </c>
    </row>
    <row r="323" spans="1:42" x14ac:dyDescent="0.25">
      <c r="A323" s="6" t="s">
        <v>36</v>
      </c>
      <c r="B323" s="6" t="s">
        <v>18</v>
      </c>
      <c r="C323" s="6" t="s">
        <v>139</v>
      </c>
      <c r="D323" s="7" t="s">
        <v>140</v>
      </c>
      <c r="E323" s="7" t="s">
        <v>21</v>
      </c>
      <c r="F323" s="7" t="s">
        <v>141</v>
      </c>
      <c r="G323" s="7" t="s">
        <v>23</v>
      </c>
      <c r="H323" s="7" t="s">
        <v>149</v>
      </c>
      <c r="I323" s="6" t="s">
        <v>143</v>
      </c>
      <c r="J323" s="6"/>
      <c r="K323" s="6" t="s">
        <v>177</v>
      </c>
      <c r="L323" s="6" t="s">
        <v>178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6">
        <f t="shared" si="5"/>
        <v>0</v>
      </c>
    </row>
    <row r="324" spans="1:42" x14ac:dyDescent="0.25">
      <c r="A324" s="6" t="s">
        <v>38</v>
      </c>
      <c r="B324" s="6" t="s">
        <v>18</v>
      </c>
      <c r="C324" s="6" t="s">
        <v>139</v>
      </c>
      <c r="D324" s="7" t="s">
        <v>140</v>
      </c>
      <c r="E324" s="7" t="s">
        <v>21</v>
      </c>
      <c r="F324" s="7" t="s">
        <v>141</v>
      </c>
      <c r="G324" s="7" t="s">
        <v>23</v>
      </c>
      <c r="H324" s="7" t="s">
        <v>154</v>
      </c>
      <c r="I324" s="6" t="s">
        <v>143</v>
      </c>
      <c r="J324" s="6"/>
      <c r="K324" s="6" t="s">
        <v>177</v>
      </c>
      <c r="L324" s="6" t="s">
        <v>178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  <c r="AI324" s="10">
        <v>0</v>
      </c>
      <c r="AJ324" s="10">
        <v>0</v>
      </c>
      <c r="AK324" s="10">
        <v>0</v>
      </c>
      <c r="AL324" s="10">
        <v>0</v>
      </c>
      <c r="AM324" s="10">
        <v>0</v>
      </c>
      <c r="AN324" s="10">
        <v>0</v>
      </c>
      <c r="AO324" s="10">
        <v>0</v>
      </c>
      <c r="AP324" s="16">
        <f t="shared" si="5"/>
        <v>0</v>
      </c>
    </row>
    <row r="325" spans="1:42" x14ac:dyDescent="0.25">
      <c r="A325" s="6" t="s">
        <v>40</v>
      </c>
      <c r="B325" s="6" t="s">
        <v>18</v>
      </c>
      <c r="C325" s="6" t="s">
        <v>139</v>
      </c>
      <c r="D325" s="7" t="s">
        <v>140</v>
      </c>
      <c r="E325" s="7" t="s">
        <v>21</v>
      </c>
      <c r="F325" s="7" t="s">
        <v>141</v>
      </c>
      <c r="G325" s="7" t="s">
        <v>23</v>
      </c>
      <c r="H325" s="7" t="s">
        <v>156</v>
      </c>
      <c r="I325" s="6" t="s">
        <v>143</v>
      </c>
      <c r="J325" s="6"/>
      <c r="K325" s="6" t="s">
        <v>177</v>
      </c>
      <c r="L325" s="6" t="s">
        <v>178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0">
        <v>0</v>
      </c>
      <c r="AM325" s="10">
        <v>0</v>
      </c>
      <c r="AN325" s="10">
        <v>0</v>
      </c>
      <c r="AO325" s="10">
        <v>0</v>
      </c>
      <c r="AP325" s="16">
        <f t="shared" ref="AP325:AP388" si="6">SUM(AK325:AO325)</f>
        <v>0</v>
      </c>
    </row>
    <row r="326" spans="1:42" x14ac:dyDescent="0.25">
      <c r="A326" s="6" t="s">
        <v>58</v>
      </c>
      <c r="B326" s="6" t="s">
        <v>18</v>
      </c>
      <c r="C326" s="6" t="s">
        <v>139</v>
      </c>
      <c r="D326" s="7" t="s">
        <v>140</v>
      </c>
      <c r="E326" s="7" t="s">
        <v>21</v>
      </c>
      <c r="F326" s="7" t="s">
        <v>141</v>
      </c>
      <c r="G326" s="7" t="s">
        <v>23</v>
      </c>
      <c r="H326" s="7" t="s">
        <v>157</v>
      </c>
      <c r="I326" s="6" t="s">
        <v>143</v>
      </c>
      <c r="J326" s="6"/>
      <c r="K326" s="6" t="s">
        <v>177</v>
      </c>
      <c r="L326" s="6" t="s">
        <v>178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0">
        <v>0</v>
      </c>
      <c r="AM326" s="10">
        <v>0</v>
      </c>
      <c r="AN326" s="10">
        <v>0</v>
      </c>
      <c r="AO326" s="10">
        <v>0</v>
      </c>
      <c r="AP326" s="16">
        <f t="shared" si="6"/>
        <v>0</v>
      </c>
    </row>
    <row r="327" spans="1:42" x14ac:dyDescent="0.25">
      <c r="A327" s="6" t="s">
        <v>42</v>
      </c>
      <c r="B327" s="6" t="s">
        <v>18</v>
      </c>
      <c r="C327" s="6" t="s">
        <v>139</v>
      </c>
      <c r="D327" s="7" t="s">
        <v>140</v>
      </c>
      <c r="E327" s="7" t="s">
        <v>21</v>
      </c>
      <c r="F327" s="7" t="s">
        <v>141</v>
      </c>
      <c r="G327" s="7" t="s">
        <v>23</v>
      </c>
      <c r="H327" s="7" t="s">
        <v>165</v>
      </c>
      <c r="I327" s="6" t="s">
        <v>143</v>
      </c>
      <c r="J327" s="6"/>
      <c r="K327" s="6" t="s">
        <v>177</v>
      </c>
      <c r="L327" s="6" t="s">
        <v>178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6">
        <f t="shared" si="6"/>
        <v>0</v>
      </c>
    </row>
    <row r="328" spans="1:42" x14ac:dyDescent="0.25">
      <c r="A328" s="6" t="s">
        <v>17</v>
      </c>
      <c r="B328" s="6" t="s">
        <v>18</v>
      </c>
      <c r="C328" s="6" t="s">
        <v>19</v>
      </c>
      <c r="D328" s="7" t="s">
        <v>20</v>
      </c>
      <c r="E328" s="7" t="s">
        <v>21</v>
      </c>
      <c r="F328" s="7" t="s">
        <v>22</v>
      </c>
      <c r="G328" s="7" t="s">
        <v>23</v>
      </c>
      <c r="H328" s="7" t="s">
        <v>24</v>
      </c>
      <c r="I328" s="6" t="s">
        <v>179</v>
      </c>
      <c r="J328" s="6"/>
      <c r="K328" s="6" t="s">
        <v>180</v>
      </c>
      <c r="L328" s="6" t="s">
        <v>181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5369.2269944131558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5369.2269944131558</v>
      </c>
      <c r="AG328" s="10">
        <v>0</v>
      </c>
      <c r="AH328" s="10">
        <v>0</v>
      </c>
      <c r="AI328" s="10">
        <v>0</v>
      </c>
      <c r="AJ328" s="10">
        <v>0</v>
      </c>
      <c r="AK328" s="10">
        <v>5369.2269944131558</v>
      </c>
      <c r="AL328" s="10">
        <v>5369.2269944131558</v>
      </c>
      <c r="AM328" s="10">
        <v>5369.2269944131558</v>
      </c>
      <c r="AN328" s="10">
        <v>5369.2269944131558</v>
      </c>
      <c r="AO328" s="10">
        <v>5369.2269944131558</v>
      </c>
      <c r="AP328" s="16">
        <f t="shared" si="6"/>
        <v>26846.134972065778</v>
      </c>
    </row>
    <row r="329" spans="1:42" x14ac:dyDescent="0.25">
      <c r="A329" s="6" t="s">
        <v>40</v>
      </c>
      <c r="B329" s="6" t="s">
        <v>18</v>
      </c>
      <c r="C329" s="6" t="s">
        <v>19</v>
      </c>
      <c r="D329" s="7" t="s">
        <v>20</v>
      </c>
      <c r="E329" s="7" t="s">
        <v>21</v>
      </c>
      <c r="F329" s="7" t="s">
        <v>22</v>
      </c>
      <c r="G329" s="7" t="s">
        <v>23</v>
      </c>
      <c r="H329" s="7" t="s">
        <v>41</v>
      </c>
      <c r="I329" s="6" t="s">
        <v>179</v>
      </c>
      <c r="J329" s="6"/>
      <c r="K329" s="6" t="s">
        <v>180</v>
      </c>
      <c r="L329" s="6" t="s">
        <v>181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77188.776659924784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77188.776659924784</v>
      </c>
      <c r="AG329" s="10">
        <v>0</v>
      </c>
      <c r="AH329" s="10">
        <v>0</v>
      </c>
      <c r="AI329" s="10">
        <v>0</v>
      </c>
      <c r="AJ329" s="10">
        <v>0</v>
      </c>
      <c r="AK329" s="10">
        <v>77188.776659924784</v>
      </c>
      <c r="AL329" s="10">
        <v>77188.776659924784</v>
      </c>
      <c r="AM329" s="10">
        <v>77188.776659924784</v>
      </c>
      <c r="AN329" s="10">
        <v>77188.776659924784</v>
      </c>
      <c r="AO329" s="10">
        <v>77188.776659924784</v>
      </c>
      <c r="AP329" s="16">
        <f t="shared" si="6"/>
        <v>385943.88329962391</v>
      </c>
    </row>
    <row r="330" spans="1:42" x14ac:dyDescent="0.25">
      <c r="A330" s="6" t="s">
        <v>32</v>
      </c>
      <c r="B330" s="6" t="s">
        <v>18</v>
      </c>
      <c r="C330" s="6" t="s">
        <v>19</v>
      </c>
      <c r="D330" s="7" t="s">
        <v>20</v>
      </c>
      <c r="E330" s="7" t="s">
        <v>21</v>
      </c>
      <c r="F330" s="7" t="s">
        <v>22</v>
      </c>
      <c r="G330" s="7" t="s">
        <v>23</v>
      </c>
      <c r="H330" s="7" t="s">
        <v>33</v>
      </c>
      <c r="I330" s="6" t="s">
        <v>179</v>
      </c>
      <c r="J330" s="6"/>
      <c r="K330" s="6" t="s">
        <v>180</v>
      </c>
      <c r="L330" s="6" t="s">
        <v>181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154721.47330368895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154721.47330368895</v>
      </c>
      <c r="AG330" s="10">
        <v>0</v>
      </c>
      <c r="AH330" s="10">
        <v>0</v>
      </c>
      <c r="AI330" s="10">
        <v>0</v>
      </c>
      <c r="AJ330" s="10">
        <v>0</v>
      </c>
      <c r="AK330" s="10">
        <v>154721.47330368895</v>
      </c>
      <c r="AL330" s="10">
        <v>154721.47330368895</v>
      </c>
      <c r="AM330" s="10">
        <v>154721.47330368895</v>
      </c>
      <c r="AN330" s="10">
        <v>154721.47330368895</v>
      </c>
      <c r="AO330" s="10">
        <v>154721.47330368895</v>
      </c>
      <c r="AP330" s="16">
        <f t="shared" si="6"/>
        <v>773607.36651844473</v>
      </c>
    </row>
    <row r="331" spans="1:42" x14ac:dyDescent="0.25">
      <c r="A331" s="6" t="s">
        <v>42</v>
      </c>
      <c r="B331" s="6" t="s">
        <v>18</v>
      </c>
      <c r="C331" s="6" t="s">
        <v>19</v>
      </c>
      <c r="D331" s="7" t="s">
        <v>20</v>
      </c>
      <c r="E331" s="7" t="s">
        <v>21</v>
      </c>
      <c r="F331" s="7" t="s">
        <v>22</v>
      </c>
      <c r="G331" s="7" t="s">
        <v>23</v>
      </c>
      <c r="H331" s="7" t="s">
        <v>43</v>
      </c>
      <c r="I331" s="6" t="s">
        <v>179</v>
      </c>
      <c r="J331" s="6"/>
      <c r="K331" s="6" t="s">
        <v>180</v>
      </c>
      <c r="L331" s="6" t="s">
        <v>181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352193.11201328581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352193.11201328581</v>
      </c>
      <c r="AG331" s="10">
        <v>0</v>
      </c>
      <c r="AH331" s="10">
        <v>0</v>
      </c>
      <c r="AI331" s="10">
        <v>0</v>
      </c>
      <c r="AJ331" s="10">
        <v>0</v>
      </c>
      <c r="AK331" s="10">
        <v>352193.11201328581</v>
      </c>
      <c r="AL331" s="10">
        <v>352193.11201328581</v>
      </c>
      <c r="AM331" s="10">
        <v>352193.11201328581</v>
      </c>
      <c r="AN331" s="10">
        <v>352193.11201328581</v>
      </c>
      <c r="AO331" s="10">
        <v>352193.11201328581</v>
      </c>
      <c r="AP331" s="16">
        <f t="shared" si="6"/>
        <v>1760965.560066429</v>
      </c>
    </row>
    <row r="332" spans="1:42" x14ac:dyDescent="0.25">
      <c r="A332" s="6" t="s">
        <v>30</v>
      </c>
      <c r="B332" s="6" t="s">
        <v>18</v>
      </c>
      <c r="C332" s="6" t="s">
        <v>19</v>
      </c>
      <c r="D332" s="7" t="s">
        <v>20</v>
      </c>
      <c r="E332" s="7" t="s">
        <v>21</v>
      </c>
      <c r="F332" s="7" t="s">
        <v>22</v>
      </c>
      <c r="G332" s="7" t="s">
        <v>23</v>
      </c>
      <c r="H332" s="7" t="s">
        <v>31</v>
      </c>
      <c r="I332" s="6" t="s">
        <v>179</v>
      </c>
      <c r="J332" s="6"/>
      <c r="K332" s="6" t="s">
        <v>180</v>
      </c>
      <c r="L332" s="6" t="s">
        <v>181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682085.96135505789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682085.96135505789</v>
      </c>
      <c r="AG332" s="10">
        <v>0</v>
      </c>
      <c r="AH332" s="10">
        <v>0</v>
      </c>
      <c r="AI332" s="10">
        <v>0</v>
      </c>
      <c r="AJ332" s="10">
        <v>0</v>
      </c>
      <c r="AK332" s="10">
        <v>682085.96135505789</v>
      </c>
      <c r="AL332" s="10">
        <v>682085.96135505789</v>
      </c>
      <c r="AM332" s="10">
        <v>682085.96135505789</v>
      </c>
      <c r="AN332" s="10">
        <v>682085.96135505789</v>
      </c>
      <c r="AO332" s="10">
        <v>682085.96135505789</v>
      </c>
      <c r="AP332" s="16">
        <f t="shared" si="6"/>
        <v>3410429.8067752896</v>
      </c>
    </row>
    <row r="333" spans="1:42" x14ac:dyDescent="0.25">
      <c r="A333" s="6" t="s">
        <v>38</v>
      </c>
      <c r="B333" s="6" t="s">
        <v>18</v>
      </c>
      <c r="C333" s="6" t="s">
        <v>19</v>
      </c>
      <c r="D333" s="7" t="s">
        <v>20</v>
      </c>
      <c r="E333" s="7" t="s">
        <v>21</v>
      </c>
      <c r="F333" s="7" t="s">
        <v>22</v>
      </c>
      <c r="G333" s="7" t="s">
        <v>23</v>
      </c>
      <c r="H333" s="7" t="s">
        <v>39</v>
      </c>
      <c r="I333" s="6" t="s">
        <v>179</v>
      </c>
      <c r="J333" s="6"/>
      <c r="K333" s="6" t="s">
        <v>180</v>
      </c>
      <c r="L333" s="6" t="s">
        <v>181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947246.31238739355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947246.31238739355</v>
      </c>
      <c r="AG333" s="10">
        <v>0</v>
      </c>
      <c r="AH333" s="10">
        <v>0</v>
      </c>
      <c r="AI333" s="10">
        <v>0</v>
      </c>
      <c r="AJ333" s="10">
        <v>0</v>
      </c>
      <c r="AK333" s="10">
        <v>947246.31238739355</v>
      </c>
      <c r="AL333" s="10">
        <v>947246.31238739355</v>
      </c>
      <c r="AM333" s="10">
        <v>947246.31238739355</v>
      </c>
      <c r="AN333" s="10">
        <v>947246.31238739355</v>
      </c>
      <c r="AO333" s="10">
        <v>947246.31238739355</v>
      </c>
      <c r="AP333" s="16">
        <f t="shared" si="6"/>
        <v>4736231.561936968</v>
      </c>
    </row>
    <row r="334" spans="1:42" x14ac:dyDescent="0.25">
      <c r="A334" s="6" t="s">
        <v>34</v>
      </c>
      <c r="B334" s="6" t="s">
        <v>18</v>
      </c>
      <c r="C334" s="6" t="s">
        <v>19</v>
      </c>
      <c r="D334" s="7" t="s">
        <v>20</v>
      </c>
      <c r="E334" s="7" t="s">
        <v>21</v>
      </c>
      <c r="F334" s="7" t="s">
        <v>22</v>
      </c>
      <c r="G334" s="7" t="s">
        <v>23</v>
      </c>
      <c r="H334" s="7" t="s">
        <v>35</v>
      </c>
      <c r="I334" s="6" t="s">
        <v>179</v>
      </c>
      <c r="J334" s="6"/>
      <c r="K334" s="6" t="s">
        <v>180</v>
      </c>
      <c r="L334" s="6" t="s">
        <v>181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1360518.7354081112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1360518.7354081112</v>
      </c>
      <c r="AG334" s="10">
        <v>0</v>
      </c>
      <c r="AH334" s="10">
        <v>0</v>
      </c>
      <c r="AI334" s="10">
        <v>0</v>
      </c>
      <c r="AJ334" s="10">
        <v>0</v>
      </c>
      <c r="AK334" s="10">
        <v>1360518.7354081112</v>
      </c>
      <c r="AL334" s="10">
        <v>1360518.7354081112</v>
      </c>
      <c r="AM334" s="10">
        <v>1360518.7354081112</v>
      </c>
      <c r="AN334" s="10">
        <v>1360518.7354081112</v>
      </c>
      <c r="AO334" s="10">
        <v>1360518.7354081112</v>
      </c>
      <c r="AP334" s="16">
        <f t="shared" si="6"/>
        <v>6802593.6770405564</v>
      </c>
    </row>
    <row r="335" spans="1:42" x14ac:dyDescent="0.25">
      <c r="A335" s="6" t="s">
        <v>28</v>
      </c>
      <c r="B335" s="6" t="s">
        <v>18</v>
      </c>
      <c r="C335" s="6" t="s">
        <v>19</v>
      </c>
      <c r="D335" s="7" t="s">
        <v>20</v>
      </c>
      <c r="E335" s="7" t="s">
        <v>21</v>
      </c>
      <c r="F335" s="7" t="s">
        <v>22</v>
      </c>
      <c r="G335" s="7" t="s">
        <v>23</v>
      </c>
      <c r="H335" s="7" t="s">
        <v>29</v>
      </c>
      <c r="I335" s="6" t="s">
        <v>179</v>
      </c>
      <c r="J335" s="6"/>
      <c r="K335" s="6" t="s">
        <v>180</v>
      </c>
      <c r="L335" s="6" t="s">
        <v>181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1705601.5274025293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1705601.5274025293</v>
      </c>
      <c r="AG335" s="10">
        <v>0</v>
      </c>
      <c r="AH335" s="10">
        <v>0</v>
      </c>
      <c r="AI335" s="10">
        <v>0</v>
      </c>
      <c r="AJ335" s="10">
        <v>0</v>
      </c>
      <c r="AK335" s="10">
        <v>1705601.5274025293</v>
      </c>
      <c r="AL335" s="10">
        <v>1705601.5274025293</v>
      </c>
      <c r="AM335" s="10">
        <v>1705601.5274025293</v>
      </c>
      <c r="AN335" s="10">
        <v>1705601.5274025293</v>
      </c>
      <c r="AO335" s="10">
        <v>1705601.5274025293</v>
      </c>
      <c r="AP335" s="16">
        <f t="shared" si="6"/>
        <v>8528007.6370126456</v>
      </c>
    </row>
    <row r="336" spans="1:42" x14ac:dyDescent="0.25">
      <c r="A336" s="6" t="s">
        <v>17</v>
      </c>
      <c r="B336" s="6" t="s">
        <v>18</v>
      </c>
      <c r="C336" s="6" t="s">
        <v>19</v>
      </c>
      <c r="D336" s="7" t="s">
        <v>20</v>
      </c>
      <c r="E336" s="7" t="s">
        <v>21</v>
      </c>
      <c r="F336" s="7" t="s">
        <v>22</v>
      </c>
      <c r="G336" s="7" t="s">
        <v>23</v>
      </c>
      <c r="H336" s="7" t="s">
        <v>24</v>
      </c>
      <c r="I336" s="6" t="s">
        <v>179</v>
      </c>
      <c r="J336" s="6"/>
      <c r="K336" s="6" t="s">
        <v>182</v>
      </c>
      <c r="L336" s="6" t="s">
        <v>183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3511.6638870797528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3511.6638870797528</v>
      </c>
      <c r="AG336" s="10">
        <v>0</v>
      </c>
      <c r="AH336" s="10">
        <v>0</v>
      </c>
      <c r="AI336" s="10">
        <v>0</v>
      </c>
      <c r="AJ336" s="10">
        <v>0</v>
      </c>
      <c r="AK336" s="10">
        <v>3511.6638870797528</v>
      </c>
      <c r="AL336" s="10">
        <v>3511.6638870797528</v>
      </c>
      <c r="AM336" s="10">
        <v>3511.6638870797528</v>
      </c>
      <c r="AN336" s="10">
        <v>3511.6638870797528</v>
      </c>
      <c r="AO336" s="10">
        <v>3511.6638870797528</v>
      </c>
      <c r="AP336" s="16">
        <f t="shared" si="6"/>
        <v>17558.319435398764</v>
      </c>
    </row>
    <row r="337" spans="1:42" x14ac:dyDescent="0.25">
      <c r="A337" s="6" t="s">
        <v>40</v>
      </c>
      <c r="B337" s="6" t="s">
        <v>18</v>
      </c>
      <c r="C337" s="6" t="s">
        <v>19</v>
      </c>
      <c r="D337" s="7" t="s">
        <v>20</v>
      </c>
      <c r="E337" s="7" t="s">
        <v>21</v>
      </c>
      <c r="F337" s="7" t="s">
        <v>22</v>
      </c>
      <c r="G337" s="7" t="s">
        <v>23</v>
      </c>
      <c r="H337" s="7" t="s">
        <v>41</v>
      </c>
      <c r="I337" s="6" t="s">
        <v>179</v>
      </c>
      <c r="J337" s="6"/>
      <c r="K337" s="6" t="s">
        <v>182</v>
      </c>
      <c r="L337" s="6" t="s">
        <v>183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50484.183247713248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50484.183247713248</v>
      </c>
      <c r="AG337" s="10">
        <v>0</v>
      </c>
      <c r="AH337" s="10">
        <v>0</v>
      </c>
      <c r="AI337" s="10">
        <v>0</v>
      </c>
      <c r="AJ337" s="10">
        <v>0</v>
      </c>
      <c r="AK337" s="10">
        <v>50484.183247713248</v>
      </c>
      <c r="AL337" s="10">
        <v>50484.183247713248</v>
      </c>
      <c r="AM337" s="10">
        <v>50484.183247713248</v>
      </c>
      <c r="AN337" s="10">
        <v>50484.183247713248</v>
      </c>
      <c r="AO337" s="10">
        <v>50484.183247713248</v>
      </c>
      <c r="AP337" s="16">
        <f t="shared" si="6"/>
        <v>252420.91623856625</v>
      </c>
    </row>
    <row r="338" spans="1:42" x14ac:dyDescent="0.25">
      <c r="A338" s="6" t="s">
        <v>32</v>
      </c>
      <c r="B338" s="6" t="s">
        <v>18</v>
      </c>
      <c r="C338" s="6" t="s">
        <v>19</v>
      </c>
      <c r="D338" s="7" t="s">
        <v>20</v>
      </c>
      <c r="E338" s="7" t="s">
        <v>21</v>
      </c>
      <c r="F338" s="7" t="s">
        <v>22</v>
      </c>
      <c r="G338" s="7" t="s">
        <v>23</v>
      </c>
      <c r="H338" s="7" t="s">
        <v>33</v>
      </c>
      <c r="I338" s="6" t="s">
        <v>179</v>
      </c>
      <c r="J338" s="6"/>
      <c r="K338" s="6" t="s">
        <v>182</v>
      </c>
      <c r="L338" s="6" t="s">
        <v>183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101193.30229876473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101193.30229876473</v>
      </c>
      <c r="AG338" s="10">
        <v>0</v>
      </c>
      <c r="AH338" s="10">
        <v>0</v>
      </c>
      <c r="AI338" s="10">
        <v>0</v>
      </c>
      <c r="AJ338" s="10">
        <v>0</v>
      </c>
      <c r="AK338" s="10">
        <v>101193.30229876473</v>
      </c>
      <c r="AL338" s="10">
        <v>101193.30229876473</v>
      </c>
      <c r="AM338" s="10">
        <v>101193.30229876473</v>
      </c>
      <c r="AN338" s="10">
        <v>101193.30229876473</v>
      </c>
      <c r="AO338" s="10">
        <v>101193.30229876473</v>
      </c>
      <c r="AP338" s="16">
        <f t="shared" si="6"/>
        <v>505966.51149382361</v>
      </c>
    </row>
    <row r="339" spans="1:42" x14ac:dyDescent="0.25">
      <c r="A339" s="6" t="s">
        <v>42</v>
      </c>
      <c r="B339" s="6" t="s">
        <v>18</v>
      </c>
      <c r="C339" s="6" t="s">
        <v>19</v>
      </c>
      <c r="D339" s="7" t="s">
        <v>20</v>
      </c>
      <c r="E339" s="7" t="s">
        <v>21</v>
      </c>
      <c r="F339" s="7" t="s">
        <v>22</v>
      </c>
      <c r="G339" s="7" t="s">
        <v>23</v>
      </c>
      <c r="H339" s="7" t="s">
        <v>43</v>
      </c>
      <c r="I339" s="6" t="s">
        <v>179</v>
      </c>
      <c r="J339" s="6"/>
      <c r="K339" s="6" t="s">
        <v>182</v>
      </c>
      <c r="L339" s="6" t="s">
        <v>183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230346.72104982732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230346.72104982732</v>
      </c>
      <c r="AG339" s="10">
        <v>0</v>
      </c>
      <c r="AH339" s="10">
        <v>0</v>
      </c>
      <c r="AI339" s="10">
        <v>0</v>
      </c>
      <c r="AJ339" s="10">
        <v>0</v>
      </c>
      <c r="AK339" s="10">
        <v>230346.72104982732</v>
      </c>
      <c r="AL339" s="10">
        <v>230346.72104982732</v>
      </c>
      <c r="AM339" s="10">
        <v>230346.72104982732</v>
      </c>
      <c r="AN339" s="10">
        <v>230346.72104982732</v>
      </c>
      <c r="AO339" s="10">
        <v>230346.72104982732</v>
      </c>
      <c r="AP339" s="16">
        <f t="shared" si="6"/>
        <v>1151733.6052491367</v>
      </c>
    </row>
    <row r="340" spans="1:42" x14ac:dyDescent="0.25">
      <c r="A340" s="6" t="s">
        <v>30</v>
      </c>
      <c r="B340" s="6" t="s">
        <v>18</v>
      </c>
      <c r="C340" s="6" t="s">
        <v>19</v>
      </c>
      <c r="D340" s="7" t="s">
        <v>20</v>
      </c>
      <c r="E340" s="7" t="s">
        <v>21</v>
      </c>
      <c r="F340" s="7" t="s">
        <v>22</v>
      </c>
      <c r="G340" s="7" t="s">
        <v>23</v>
      </c>
      <c r="H340" s="7" t="s">
        <v>31</v>
      </c>
      <c r="I340" s="6" t="s">
        <v>179</v>
      </c>
      <c r="J340" s="6"/>
      <c r="K340" s="6" t="s">
        <v>182</v>
      </c>
      <c r="L340" s="6" t="s">
        <v>183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446108.28353261465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446108.28353261465</v>
      </c>
      <c r="AG340" s="10">
        <v>0</v>
      </c>
      <c r="AH340" s="10">
        <v>0</v>
      </c>
      <c r="AI340" s="10">
        <v>0</v>
      </c>
      <c r="AJ340" s="10">
        <v>0</v>
      </c>
      <c r="AK340" s="10">
        <v>446108.28353261465</v>
      </c>
      <c r="AL340" s="10">
        <v>446108.28353261465</v>
      </c>
      <c r="AM340" s="10">
        <v>446108.28353261465</v>
      </c>
      <c r="AN340" s="10">
        <v>446108.28353261465</v>
      </c>
      <c r="AO340" s="10">
        <v>446108.28353261465</v>
      </c>
      <c r="AP340" s="16">
        <f t="shared" si="6"/>
        <v>2230541.4176630732</v>
      </c>
    </row>
    <row r="341" spans="1:42" x14ac:dyDescent="0.25">
      <c r="A341" s="6" t="s">
        <v>38</v>
      </c>
      <c r="B341" s="6" t="s">
        <v>18</v>
      </c>
      <c r="C341" s="6" t="s">
        <v>19</v>
      </c>
      <c r="D341" s="7" t="s">
        <v>20</v>
      </c>
      <c r="E341" s="7" t="s">
        <v>21</v>
      </c>
      <c r="F341" s="7" t="s">
        <v>22</v>
      </c>
      <c r="G341" s="7" t="s">
        <v>23</v>
      </c>
      <c r="H341" s="7" t="s">
        <v>39</v>
      </c>
      <c r="I341" s="6" t="s">
        <v>179</v>
      </c>
      <c r="J341" s="6"/>
      <c r="K341" s="6" t="s">
        <v>182</v>
      </c>
      <c r="L341" s="6" t="s">
        <v>183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619532.50828126795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619532.50828126795</v>
      </c>
      <c r="AG341" s="10">
        <v>0</v>
      </c>
      <c r="AH341" s="10">
        <v>0</v>
      </c>
      <c r="AI341" s="10">
        <v>0</v>
      </c>
      <c r="AJ341" s="10">
        <v>0</v>
      </c>
      <c r="AK341" s="10">
        <v>619532.50828126795</v>
      </c>
      <c r="AL341" s="10">
        <v>619532.50828126795</v>
      </c>
      <c r="AM341" s="10">
        <v>619532.50828126795</v>
      </c>
      <c r="AN341" s="10">
        <v>619532.50828126795</v>
      </c>
      <c r="AO341" s="10">
        <v>619532.50828126795</v>
      </c>
      <c r="AP341" s="16">
        <f t="shared" si="6"/>
        <v>3097662.54140634</v>
      </c>
    </row>
    <row r="342" spans="1:42" x14ac:dyDescent="0.25">
      <c r="A342" s="6" t="s">
        <v>34</v>
      </c>
      <c r="B342" s="6" t="s">
        <v>18</v>
      </c>
      <c r="C342" s="6" t="s">
        <v>19</v>
      </c>
      <c r="D342" s="7" t="s">
        <v>20</v>
      </c>
      <c r="E342" s="7" t="s">
        <v>21</v>
      </c>
      <c r="F342" s="7" t="s">
        <v>22</v>
      </c>
      <c r="G342" s="7" t="s">
        <v>23</v>
      </c>
      <c r="H342" s="7" t="s">
        <v>35</v>
      </c>
      <c r="I342" s="6" t="s">
        <v>179</v>
      </c>
      <c r="J342" s="6"/>
      <c r="K342" s="6" t="s">
        <v>182</v>
      </c>
      <c r="L342" s="6" t="s">
        <v>183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889827.25368091231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889827.25368091231</v>
      </c>
      <c r="AG342" s="10">
        <v>0</v>
      </c>
      <c r="AH342" s="10">
        <v>0</v>
      </c>
      <c r="AI342" s="10">
        <v>0</v>
      </c>
      <c r="AJ342" s="10">
        <v>0</v>
      </c>
      <c r="AK342" s="10">
        <v>889827.25368091231</v>
      </c>
      <c r="AL342" s="10">
        <v>889827.25368091231</v>
      </c>
      <c r="AM342" s="10">
        <v>889827.25368091231</v>
      </c>
      <c r="AN342" s="10">
        <v>889827.25368091231</v>
      </c>
      <c r="AO342" s="10">
        <v>889827.25368091231</v>
      </c>
      <c r="AP342" s="16">
        <f t="shared" si="6"/>
        <v>4449136.268404562</v>
      </c>
    </row>
    <row r="343" spans="1:42" x14ac:dyDescent="0.25">
      <c r="A343" s="6" t="s">
        <v>28</v>
      </c>
      <c r="B343" s="6" t="s">
        <v>18</v>
      </c>
      <c r="C343" s="6" t="s">
        <v>19</v>
      </c>
      <c r="D343" s="7" t="s">
        <v>20</v>
      </c>
      <c r="E343" s="7" t="s">
        <v>21</v>
      </c>
      <c r="F343" s="7" t="s">
        <v>22</v>
      </c>
      <c r="G343" s="7" t="s">
        <v>23</v>
      </c>
      <c r="H343" s="7" t="s">
        <v>29</v>
      </c>
      <c r="I343" s="6" t="s">
        <v>179</v>
      </c>
      <c r="J343" s="6"/>
      <c r="K343" s="6" t="s">
        <v>182</v>
      </c>
      <c r="L343" s="6" t="s">
        <v>183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1115523.5745778279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1115523.5745778279</v>
      </c>
      <c r="AG343" s="10">
        <v>0</v>
      </c>
      <c r="AH343" s="10">
        <v>0</v>
      </c>
      <c r="AI343" s="10">
        <v>0</v>
      </c>
      <c r="AJ343" s="10">
        <v>0</v>
      </c>
      <c r="AK343" s="10">
        <v>1115523.5745778279</v>
      </c>
      <c r="AL343" s="10">
        <v>1115523.5745778279</v>
      </c>
      <c r="AM343" s="10">
        <v>1115523.5745778279</v>
      </c>
      <c r="AN343" s="10">
        <v>1115523.5745778279</v>
      </c>
      <c r="AO343" s="10">
        <v>1115523.5745778279</v>
      </c>
      <c r="AP343" s="16">
        <f t="shared" si="6"/>
        <v>5577617.8728891397</v>
      </c>
    </row>
    <row r="344" spans="1:42" x14ac:dyDescent="0.25">
      <c r="A344" s="6" t="s">
        <v>17</v>
      </c>
      <c r="B344" s="6" t="s">
        <v>18</v>
      </c>
      <c r="C344" s="6" t="s">
        <v>19</v>
      </c>
      <c r="D344" s="7" t="s">
        <v>20</v>
      </c>
      <c r="E344" s="7" t="s">
        <v>21</v>
      </c>
      <c r="F344" s="7" t="s">
        <v>22</v>
      </c>
      <c r="G344" s="7" t="s">
        <v>23</v>
      </c>
      <c r="H344" s="7" t="s">
        <v>24</v>
      </c>
      <c r="I344" s="6" t="s">
        <v>179</v>
      </c>
      <c r="J344" s="6"/>
      <c r="K344" s="6" t="s">
        <v>184</v>
      </c>
      <c r="L344" s="6" t="s">
        <v>185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  <c r="AJ344" s="10">
        <v>0</v>
      </c>
      <c r="AK344" s="10">
        <v>0</v>
      </c>
      <c r="AL344" s="10">
        <v>0</v>
      </c>
      <c r="AM344" s="10">
        <v>0</v>
      </c>
      <c r="AN344" s="10">
        <v>0</v>
      </c>
      <c r="AO344" s="10">
        <v>0</v>
      </c>
      <c r="AP344" s="16">
        <f t="shared" si="6"/>
        <v>0</v>
      </c>
    </row>
    <row r="345" spans="1:42" x14ac:dyDescent="0.25">
      <c r="A345" s="6" t="s">
        <v>58</v>
      </c>
      <c r="B345" s="6" t="s">
        <v>18</v>
      </c>
      <c r="C345" s="6" t="s">
        <v>19</v>
      </c>
      <c r="D345" s="7" t="s">
        <v>20</v>
      </c>
      <c r="E345" s="7" t="s">
        <v>21</v>
      </c>
      <c r="F345" s="7" t="s">
        <v>22</v>
      </c>
      <c r="G345" s="7" t="s">
        <v>23</v>
      </c>
      <c r="H345" s="7" t="s">
        <v>59</v>
      </c>
      <c r="I345" s="6" t="s">
        <v>179</v>
      </c>
      <c r="J345" s="6"/>
      <c r="K345" s="6" t="s">
        <v>184</v>
      </c>
      <c r="L345" s="6" t="s">
        <v>185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0">
        <v>0</v>
      </c>
      <c r="AM345" s="10">
        <v>0</v>
      </c>
      <c r="AN345" s="10">
        <v>0</v>
      </c>
      <c r="AO345" s="10">
        <v>0</v>
      </c>
      <c r="AP345" s="16">
        <f t="shared" si="6"/>
        <v>0</v>
      </c>
    </row>
    <row r="346" spans="1:42" x14ac:dyDescent="0.25">
      <c r="A346" s="6" t="s">
        <v>40</v>
      </c>
      <c r="B346" s="6" t="s">
        <v>18</v>
      </c>
      <c r="C346" s="6" t="s">
        <v>19</v>
      </c>
      <c r="D346" s="7" t="s">
        <v>20</v>
      </c>
      <c r="E346" s="7" t="s">
        <v>21</v>
      </c>
      <c r="F346" s="7" t="s">
        <v>22</v>
      </c>
      <c r="G346" s="7" t="s">
        <v>23</v>
      </c>
      <c r="H346" s="7" t="s">
        <v>41</v>
      </c>
      <c r="I346" s="6" t="s">
        <v>179</v>
      </c>
      <c r="J346" s="6"/>
      <c r="K346" s="6" t="s">
        <v>184</v>
      </c>
      <c r="L346" s="6" t="s">
        <v>185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  <c r="AI346" s="10">
        <v>0</v>
      </c>
      <c r="AJ346" s="10">
        <v>0</v>
      </c>
      <c r="AK346" s="10">
        <v>0</v>
      </c>
      <c r="AL346" s="10">
        <v>0</v>
      </c>
      <c r="AM346" s="10">
        <v>0</v>
      </c>
      <c r="AN346" s="10">
        <v>0</v>
      </c>
      <c r="AO346" s="10">
        <v>0</v>
      </c>
      <c r="AP346" s="16">
        <f t="shared" si="6"/>
        <v>0</v>
      </c>
    </row>
    <row r="347" spans="1:42" x14ac:dyDescent="0.25">
      <c r="A347" s="6" t="s">
        <v>42</v>
      </c>
      <c r="B347" s="6" t="s">
        <v>18</v>
      </c>
      <c r="C347" s="6" t="s">
        <v>19</v>
      </c>
      <c r="D347" s="7" t="s">
        <v>20</v>
      </c>
      <c r="E347" s="7" t="s">
        <v>21</v>
      </c>
      <c r="F347" s="7" t="s">
        <v>22</v>
      </c>
      <c r="G347" s="7" t="s">
        <v>23</v>
      </c>
      <c r="H347" s="7" t="s">
        <v>43</v>
      </c>
      <c r="I347" s="6" t="s">
        <v>179</v>
      </c>
      <c r="J347" s="6"/>
      <c r="K347" s="6" t="s">
        <v>184</v>
      </c>
      <c r="L347" s="6" t="s">
        <v>185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6">
        <f t="shared" si="6"/>
        <v>0</v>
      </c>
    </row>
    <row r="348" spans="1:42" x14ac:dyDescent="0.25">
      <c r="A348" s="6" t="s">
        <v>36</v>
      </c>
      <c r="B348" s="6" t="s">
        <v>18</v>
      </c>
      <c r="C348" s="6" t="s">
        <v>19</v>
      </c>
      <c r="D348" s="7" t="s">
        <v>20</v>
      </c>
      <c r="E348" s="7" t="s">
        <v>21</v>
      </c>
      <c r="F348" s="7" t="s">
        <v>22</v>
      </c>
      <c r="G348" s="7" t="s">
        <v>23</v>
      </c>
      <c r="H348" s="7" t="s">
        <v>37</v>
      </c>
      <c r="I348" s="6" t="s">
        <v>179</v>
      </c>
      <c r="J348" s="6"/>
      <c r="K348" s="6" t="s">
        <v>184</v>
      </c>
      <c r="L348" s="6" t="s">
        <v>185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  <c r="AI348" s="10">
        <v>0</v>
      </c>
      <c r="AJ348" s="10">
        <v>0</v>
      </c>
      <c r="AK348" s="10">
        <v>0</v>
      </c>
      <c r="AL348" s="10">
        <v>0</v>
      </c>
      <c r="AM348" s="10">
        <v>0</v>
      </c>
      <c r="AN348" s="10">
        <v>0</v>
      </c>
      <c r="AO348" s="10">
        <v>0</v>
      </c>
      <c r="AP348" s="16">
        <f t="shared" si="6"/>
        <v>0</v>
      </c>
    </row>
    <row r="349" spans="1:42" x14ac:dyDescent="0.25">
      <c r="A349" s="6" t="s">
        <v>32</v>
      </c>
      <c r="B349" s="6" t="s">
        <v>18</v>
      </c>
      <c r="C349" s="6" t="s">
        <v>19</v>
      </c>
      <c r="D349" s="7" t="s">
        <v>20</v>
      </c>
      <c r="E349" s="7" t="s">
        <v>21</v>
      </c>
      <c r="F349" s="7" t="s">
        <v>22</v>
      </c>
      <c r="G349" s="7" t="s">
        <v>23</v>
      </c>
      <c r="H349" s="7" t="s">
        <v>33</v>
      </c>
      <c r="I349" s="6" t="s">
        <v>179</v>
      </c>
      <c r="J349" s="6"/>
      <c r="K349" s="6" t="s">
        <v>184</v>
      </c>
      <c r="L349" s="6" t="s">
        <v>185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  <c r="AI349" s="10">
        <v>0</v>
      </c>
      <c r="AJ349" s="10">
        <v>0</v>
      </c>
      <c r="AK349" s="10">
        <v>0</v>
      </c>
      <c r="AL349" s="10">
        <v>0</v>
      </c>
      <c r="AM349" s="10">
        <v>0</v>
      </c>
      <c r="AN349" s="10">
        <v>0</v>
      </c>
      <c r="AO349" s="10">
        <v>0</v>
      </c>
      <c r="AP349" s="16">
        <f t="shared" si="6"/>
        <v>0</v>
      </c>
    </row>
    <row r="350" spans="1:42" x14ac:dyDescent="0.25">
      <c r="A350" s="6" t="s">
        <v>38</v>
      </c>
      <c r="B350" s="6" t="s">
        <v>18</v>
      </c>
      <c r="C350" s="6" t="s">
        <v>19</v>
      </c>
      <c r="D350" s="7" t="s">
        <v>20</v>
      </c>
      <c r="E350" s="7" t="s">
        <v>21</v>
      </c>
      <c r="F350" s="7" t="s">
        <v>22</v>
      </c>
      <c r="G350" s="7" t="s">
        <v>23</v>
      </c>
      <c r="H350" s="7" t="s">
        <v>39</v>
      </c>
      <c r="I350" s="6" t="s">
        <v>179</v>
      </c>
      <c r="J350" s="6"/>
      <c r="K350" s="6" t="s">
        <v>184</v>
      </c>
      <c r="L350" s="6" t="s">
        <v>185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  <c r="AI350" s="10">
        <v>0</v>
      </c>
      <c r="AJ350" s="10">
        <v>0</v>
      </c>
      <c r="AK350" s="10">
        <v>0</v>
      </c>
      <c r="AL350" s="10">
        <v>0</v>
      </c>
      <c r="AM350" s="10">
        <v>0</v>
      </c>
      <c r="AN350" s="10">
        <v>0</v>
      </c>
      <c r="AO350" s="10">
        <v>0</v>
      </c>
      <c r="AP350" s="16">
        <f t="shared" si="6"/>
        <v>0</v>
      </c>
    </row>
    <row r="351" spans="1:42" x14ac:dyDescent="0.25">
      <c r="A351" s="6" t="s">
        <v>30</v>
      </c>
      <c r="B351" s="6" t="s">
        <v>18</v>
      </c>
      <c r="C351" s="6" t="s">
        <v>19</v>
      </c>
      <c r="D351" s="7" t="s">
        <v>20</v>
      </c>
      <c r="E351" s="7" t="s">
        <v>21</v>
      </c>
      <c r="F351" s="7" t="s">
        <v>22</v>
      </c>
      <c r="G351" s="7" t="s">
        <v>23</v>
      </c>
      <c r="H351" s="7" t="s">
        <v>31</v>
      </c>
      <c r="I351" s="6" t="s">
        <v>179</v>
      </c>
      <c r="J351" s="6"/>
      <c r="K351" s="6" t="s">
        <v>184</v>
      </c>
      <c r="L351" s="6" t="s">
        <v>185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0">
        <v>0</v>
      </c>
      <c r="AM351" s="10">
        <v>0</v>
      </c>
      <c r="AN351" s="10">
        <v>0</v>
      </c>
      <c r="AO351" s="10">
        <v>0</v>
      </c>
      <c r="AP351" s="16">
        <f t="shared" si="6"/>
        <v>0</v>
      </c>
    </row>
    <row r="352" spans="1:42" x14ac:dyDescent="0.25">
      <c r="A352" s="6" t="s">
        <v>34</v>
      </c>
      <c r="B352" s="6" t="s">
        <v>18</v>
      </c>
      <c r="C352" s="6" t="s">
        <v>19</v>
      </c>
      <c r="D352" s="7" t="s">
        <v>20</v>
      </c>
      <c r="E352" s="7" t="s">
        <v>21</v>
      </c>
      <c r="F352" s="7" t="s">
        <v>22</v>
      </c>
      <c r="G352" s="7" t="s">
        <v>23</v>
      </c>
      <c r="H352" s="7" t="s">
        <v>35</v>
      </c>
      <c r="I352" s="6" t="s">
        <v>179</v>
      </c>
      <c r="J352" s="6"/>
      <c r="K352" s="6" t="s">
        <v>184</v>
      </c>
      <c r="L352" s="6" t="s">
        <v>185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  <c r="AI352" s="10">
        <v>0</v>
      </c>
      <c r="AJ352" s="10">
        <v>0</v>
      </c>
      <c r="AK352" s="10">
        <v>0</v>
      </c>
      <c r="AL352" s="10">
        <v>0</v>
      </c>
      <c r="AM352" s="10">
        <v>0</v>
      </c>
      <c r="AN352" s="10">
        <v>0</v>
      </c>
      <c r="AO352" s="10">
        <v>0</v>
      </c>
      <c r="AP352" s="16">
        <f t="shared" si="6"/>
        <v>0</v>
      </c>
    </row>
    <row r="353" spans="1:42" x14ac:dyDescent="0.25">
      <c r="A353" s="6" t="s">
        <v>28</v>
      </c>
      <c r="B353" s="6" t="s">
        <v>18</v>
      </c>
      <c r="C353" s="6" t="s">
        <v>19</v>
      </c>
      <c r="D353" s="7" t="s">
        <v>20</v>
      </c>
      <c r="E353" s="7" t="s">
        <v>21</v>
      </c>
      <c r="F353" s="7" t="s">
        <v>22</v>
      </c>
      <c r="G353" s="7" t="s">
        <v>23</v>
      </c>
      <c r="H353" s="7" t="s">
        <v>29</v>
      </c>
      <c r="I353" s="6" t="s">
        <v>179</v>
      </c>
      <c r="J353" s="6"/>
      <c r="K353" s="6" t="s">
        <v>184</v>
      </c>
      <c r="L353" s="6" t="s">
        <v>185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  <c r="AI353" s="10">
        <v>0</v>
      </c>
      <c r="AJ353" s="10">
        <v>0</v>
      </c>
      <c r="AK353" s="10">
        <v>0</v>
      </c>
      <c r="AL353" s="10">
        <v>0</v>
      </c>
      <c r="AM353" s="10">
        <v>0</v>
      </c>
      <c r="AN353" s="10">
        <v>0</v>
      </c>
      <c r="AO353" s="10">
        <v>0</v>
      </c>
      <c r="AP353" s="16">
        <f t="shared" si="6"/>
        <v>0</v>
      </c>
    </row>
    <row r="354" spans="1:42" x14ac:dyDescent="0.25">
      <c r="A354" s="6" t="s">
        <v>28</v>
      </c>
      <c r="B354" s="6" t="s">
        <v>18</v>
      </c>
      <c r="C354" s="6" t="s">
        <v>19</v>
      </c>
      <c r="D354" s="7" t="s">
        <v>20</v>
      </c>
      <c r="E354" s="7" t="s">
        <v>21</v>
      </c>
      <c r="F354" s="7" t="s">
        <v>22</v>
      </c>
      <c r="G354" s="7" t="s">
        <v>23</v>
      </c>
      <c r="H354" s="7" t="s">
        <v>29</v>
      </c>
      <c r="I354" s="6" t="s">
        <v>179</v>
      </c>
      <c r="J354" s="6"/>
      <c r="K354" s="6"/>
      <c r="L354" s="6" t="s">
        <v>186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1583560.4650211979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1583560.4650211979</v>
      </c>
      <c r="AG354" s="10">
        <v>0</v>
      </c>
      <c r="AH354" s="10">
        <v>0</v>
      </c>
      <c r="AI354" s="10">
        <v>0</v>
      </c>
      <c r="AJ354" s="10">
        <v>0</v>
      </c>
      <c r="AK354" s="10">
        <v>1583560.4650211979</v>
      </c>
      <c r="AL354" s="10">
        <v>1583560.4650211979</v>
      </c>
      <c r="AM354" s="10">
        <v>1583560.4650211979</v>
      </c>
      <c r="AN354" s="10">
        <v>1583560.4650211979</v>
      </c>
      <c r="AO354" s="10">
        <v>1583560.4650211979</v>
      </c>
      <c r="AP354" s="16">
        <f t="shared" si="6"/>
        <v>7917802.3251059894</v>
      </c>
    </row>
    <row r="355" spans="1:42" x14ac:dyDescent="0.25">
      <c r="A355" s="6" t="s">
        <v>34</v>
      </c>
      <c r="B355" s="6" t="s">
        <v>18</v>
      </c>
      <c r="C355" s="6" t="s">
        <v>19</v>
      </c>
      <c r="D355" s="7" t="s">
        <v>20</v>
      </c>
      <c r="E355" s="7" t="s">
        <v>21</v>
      </c>
      <c r="F355" s="7" t="s">
        <v>22</v>
      </c>
      <c r="G355" s="7" t="s">
        <v>23</v>
      </c>
      <c r="H355" s="7" t="s">
        <v>35</v>
      </c>
      <c r="I355" s="6" t="s">
        <v>179</v>
      </c>
      <c r="J355" s="6"/>
      <c r="K355" s="6"/>
      <c r="L355" s="6" t="s">
        <v>186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1583560.4650211979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1583560.4650211979</v>
      </c>
      <c r="AG355" s="10">
        <v>0</v>
      </c>
      <c r="AH355" s="10">
        <v>0</v>
      </c>
      <c r="AI355" s="10">
        <v>0</v>
      </c>
      <c r="AJ355" s="10">
        <v>0</v>
      </c>
      <c r="AK355" s="10">
        <v>1583560.4650211979</v>
      </c>
      <c r="AL355" s="10">
        <v>1583560.4650211979</v>
      </c>
      <c r="AM355" s="10">
        <v>1583560.4650211979</v>
      </c>
      <c r="AN355" s="10">
        <v>1583560.4650211979</v>
      </c>
      <c r="AO355" s="10">
        <v>1583560.4650211979</v>
      </c>
      <c r="AP355" s="16">
        <f t="shared" si="6"/>
        <v>7917802.3251059894</v>
      </c>
    </row>
    <row r="356" spans="1:42" x14ac:dyDescent="0.25">
      <c r="A356" s="6" t="s">
        <v>28</v>
      </c>
      <c r="B356" s="6" t="s">
        <v>18</v>
      </c>
      <c r="C356" s="6" t="s">
        <v>19</v>
      </c>
      <c r="D356" s="7" t="s">
        <v>20</v>
      </c>
      <c r="E356" s="7" t="s">
        <v>21</v>
      </c>
      <c r="F356" s="7" t="s">
        <v>22</v>
      </c>
      <c r="G356" s="7" t="s">
        <v>23</v>
      </c>
      <c r="H356" s="7" t="s">
        <v>29</v>
      </c>
      <c r="I356" s="6" t="s">
        <v>179</v>
      </c>
      <c r="J356" s="6"/>
      <c r="K356" s="6"/>
      <c r="L356" s="6" t="s">
        <v>187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928897.3206039822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928897.3206039822</v>
      </c>
      <c r="AG356" s="10">
        <v>0</v>
      </c>
      <c r="AH356" s="10">
        <v>0</v>
      </c>
      <c r="AI356" s="10">
        <v>0</v>
      </c>
      <c r="AJ356" s="10">
        <v>0</v>
      </c>
      <c r="AK356" s="10">
        <v>928897.3206039822</v>
      </c>
      <c r="AL356" s="10">
        <v>928897.3206039822</v>
      </c>
      <c r="AM356" s="10">
        <v>928897.3206039822</v>
      </c>
      <c r="AN356" s="10">
        <v>928897.3206039822</v>
      </c>
      <c r="AO356" s="10">
        <v>928897.3206039822</v>
      </c>
      <c r="AP356" s="16">
        <f t="shared" si="6"/>
        <v>4644486.6030199109</v>
      </c>
    </row>
    <row r="357" spans="1:42" x14ac:dyDescent="0.25">
      <c r="A357" s="6" t="s">
        <v>30</v>
      </c>
      <c r="B357" s="6" t="s">
        <v>18</v>
      </c>
      <c r="C357" s="6" t="s">
        <v>19</v>
      </c>
      <c r="D357" s="7" t="s">
        <v>20</v>
      </c>
      <c r="E357" s="7" t="s">
        <v>21</v>
      </c>
      <c r="F357" s="7" t="s">
        <v>22</v>
      </c>
      <c r="G357" s="7" t="s">
        <v>23</v>
      </c>
      <c r="H357" s="7" t="s">
        <v>31</v>
      </c>
      <c r="I357" s="6" t="s">
        <v>179</v>
      </c>
      <c r="J357" s="6"/>
      <c r="K357" s="6"/>
      <c r="L357" s="6" t="s">
        <v>187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351659.60181096679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351659.60181096679</v>
      </c>
      <c r="AG357" s="10">
        <v>0</v>
      </c>
      <c r="AH357" s="10">
        <v>0</v>
      </c>
      <c r="AI357" s="10">
        <v>0</v>
      </c>
      <c r="AJ357" s="10">
        <v>0</v>
      </c>
      <c r="AK357" s="10">
        <v>351659.60181096679</v>
      </c>
      <c r="AL357" s="10">
        <v>351659.60181096679</v>
      </c>
      <c r="AM357" s="10">
        <v>351659.60181096679</v>
      </c>
      <c r="AN357" s="10">
        <v>351659.60181096679</v>
      </c>
      <c r="AO357" s="10">
        <v>351659.60181096679</v>
      </c>
      <c r="AP357" s="16">
        <f t="shared" si="6"/>
        <v>1758298.009054834</v>
      </c>
    </row>
    <row r="358" spans="1:42" x14ac:dyDescent="0.25">
      <c r="A358" s="6" t="s">
        <v>32</v>
      </c>
      <c r="B358" s="6" t="s">
        <v>18</v>
      </c>
      <c r="C358" s="6" t="s">
        <v>19</v>
      </c>
      <c r="D358" s="7" t="s">
        <v>20</v>
      </c>
      <c r="E358" s="7" t="s">
        <v>21</v>
      </c>
      <c r="F358" s="7" t="s">
        <v>22</v>
      </c>
      <c r="G358" s="7" t="s">
        <v>23</v>
      </c>
      <c r="H358" s="7" t="s">
        <v>33</v>
      </c>
      <c r="I358" s="6" t="s">
        <v>179</v>
      </c>
      <c r="J358" s="6"/>
      <c r="K358" s="6"/>
      <c r="L358" s="6" t="s">
        <v>187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91930.451511480234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91930.451511480234</v>
      </c>
      <c r="AG358" s="10">
        <v>0</v>
      </c>
      <c r="AH358" s="10">
        <v>0</v>
      </c>
      <c r="AI358" s="10">
        <v>0</v>
      </c>
      <c r="AJ358" s="10">
        <v>0</v>
      </c>
      <c r="AK358" s="10">
        <v>91930.451511480234</v>
      </c>
      <c r="AL358" s="10">
        <v>91930.451511480234</v>
      </c>
      <c r="AM358" s="10">
        <v>91930.451511480234</v>
      </c>
      <c r="AN358" s="10">
        <v>91930.451511480234</v>
      </c>
      <c r="AO358" s="10">
        <v>91930.451511480234</v>
      </c>
      <c r="AP358" s="16">
        <f t="shared" si="6"/>
        <v>459652.2575574012</v>
      </c>
    </row>
    <row r="359" spans="1:42" x14ac:dyDescent="0.25">
      <c r="A359" s="6" t="s">
        <v>34</v>
      </c>
      <c r="B359" s="6" t="s">
        <v>18</v>
      </c>
      <c r="C359" s="6" t="s">
        <v>19</v>
      </c>
      <c r="D359" s="7" t="s">
        <v>20</v>
      </c>
      <c r="E359" s="7" t="s">
        <v>21</v>
      </c>
      <c r="F359" s="7" t="s">
        <v>22</v>
      </c>
      <c r="G359" s="7" t="s">
        <v>23</v>
      </c>
      <c r="H359" s="7" t="s">
        <v>35</v>
      </c>
      <c r="I359" s="6" t="s">
        <v>179</v>
      </c>
      <c r="J359" s="6"/>
      <c r="K359" s="6"/>
      <c r="L359" s="6" t="s">
        <v>187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712967.65542585426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712967.65542585426</v>
      </c>
      <c r="AG359" s="10">
        <v>0</v>
      </c>
      <c r="AH359" s="10">
        <v>0</v>
      </c>
      <c r="AI359" s="10">
        <v>0</v>
      </c>
      <c r="AJ359" s="10">
        <v>0</v>
      </c>
      <c r="AK359" s="10">
        <v>712967.65542585426</v>
      </c>
      <c r="AL359" s="10">
        <v>712967.65542585426</v>
      </c>
      <c r="AM359" s="10">
        <v>712967.65542585426</v>
      </c>
      <c r="AN359" s="10">
        <v>712967.65542585426</v>
      </c>
      <c r="AO359" s="10">
        <v>712967.65542585426</v>
      </c>
      <c r="AP359" s="16">
        <f t="shared" si="6"/>
        <v>3564838.2771292711</v>
      </c>
    </row>
    <row r="360" spans="1:42" x14ac:dyDescent="0.25">
      <c r="A360" s="6" t="s">
        <v>38</v>
      </c>
      <c r="B360" s="6" t="s">
        <v>18</v>
      </c>
      <c r="C360" s="6" t="s">
        <v>19</v>
      </c>
      <c r="D360" s="7" t="s">
        <v>20</v>
      </c>
      <c r="E360" s="7" t="s">
        <v>21</v>
      </c>
      <c r="F360" s="7" t="s">
        <v>22</v>
      </c>
      <c r="G360" s="7" t="s">
        <v>23</v>
      </c>
      <c r="H360" s="7" t="s">
        <v>39</v>
      </c>
      <c r="I360" s="6" t="s">
        <v>179</v>
      </c>
      <c r="J360" s="6"/>
      <c r="K360" s="6"/>
      <c r="L360" s="6" t="s">
        <v>187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476727.77421612013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476727.77421612013</v>
      </c>
      <c r="AG360" s="10">
        <v>0</v>
      </c>
      <c r="AH360" s="10">
        <v>0</v>
      </c>
      <c r="AI360" s="10">
        <v>0</v>
      </c>
      <c r="AJ360" s="10">
        <v>0</v>
      </c>
      <c r="AK360" s="10">
        <v>476727.77421612013</v>
      </c>
      <c r="AL360" s="10">
        <v>476727.77421612013</v>
      </c>
      <c r="AM360" s="10">
        <v>476727.77421612013</v>
      </c>
      <c r="AN360" s="10">
        <v>476727.77421612013</v>
      </c>
      <c r="AO360" s="10">
        <v>476727.77421612013</v>
      </c>
      <c r="AP360" s="16">
        <f t="shared" si="6"/>
        <v>2383638.8710806007</v>
      </c>
    </row>
    <row r="361" spans="1:42" x14ac:dyDescent="0.25">
      <c r="A361" s="6" t="s">
        <v>40</v>
      </c>
      <c r="B361" s="6" t="s">
        <v>18</v>
      </c>
      <c r="C361" s="6" t="s">
        <v>19</v>
      </c>
      <c r="D361" s="7" t="s">
        <v>20</v>
      </c>
      <c r="E361" s="7" t="s">
        <v>21</v>
      </c>
      <c r="F361" s="7" t="s">
        <v>22</v>
      </c>
      <c r="G361" s="7" t="s">
        <v>23</v>
      </c>
      <c r="H361" s="7" t="s">
        <v>41</v>
      </c>
      <c r="I361" s="6" t="s">
        <v>179</v>
      </c>
      <c r="J361" s="6"/>
      <c r="K361" s="6"/>
      <c r="L361" s="6" t="s">
        <v>187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33137.720893673111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33137.720893673111</v>
      </c>
      <c r="AG361" s="10">
        <v>0</v>
      </c>
      <c r="AH361" s="10">
        <v>0</v>
      </c>
      <c r="AI361" s="10">
        <v>0</v>
      </c>
      <c r="AJ361" s="10">
        <v>0</v>
      </c>
      <c r="AK361" s="10">
        <v>33137.720893673111</v>
      </c>
      <c r="AL361" s="10">
        <v>33137.720893673111</v>
      </c>
      <c r="AM361" s="10">
        <v>33137.720893673111</v>
      </c>
      <c r="AN361" s="10">
        <v>33137.720893673111</v>
      </c>
      <c r="AO361" s="10">
        <v>33137.720893673111</v>
      </c>
      <c r="AP361" s="16">
        <f t="shared" si="6"/>
        <v>165688.60446836555</v>
      </c>
    </row>
    <row r="362" spans="1:42" x14ac:dyDescent="0.25">
      <c r="A362" s="6" t="s">
        <v>42</v>
      </c>
      <c r="B362" s="6" t="s">
        <v>18</v>
      </c>
      <c r="C362" s="6" t="s">
        <v>19</v>
      </c>
      <c r="D362" s="7" t="s">
        <v>20</v>
      </c>
      <c r="E362" s="7" t="s">
        <v>21</v>
      </c>
      <c r="F362" s="7" t="s">
        <v>22</v>
      </c>
      <c r="G362" s="7" t="s">
        <v>23</v>
      </c>
      <c r="H362" s="7" t="s">
        <v>43</v>
      </c>
      <c r="I362" s="6" t="s">
        <v>179</v>
      </c>
      <c r="J362" s="6"/>
      <c r="K362" s="6"/>
      <c r="L362" s="6" t="s">
        <v>187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188136.73797698281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188136.73797698281</v>
      </c>
      <c r="AG362" s="10">
        <v>0</v>
      </c>
      <c r="AH362" s="10">
        <v>0</v>
      </c>
      <c r="AI362" s="10">
        <v>0</v>
      </c>
      <c r="AJ362" s="10">
        <v>0</v>
      </c>
      <c r="AK362" s="10">
        <v>188136.73797698281</v>
      </c>
      <c r="AL362" s="10">
        <v>188136.73797698281</v>
      </c>
      <c r="AM362" s="10">
        <v>188136.73797698281</v>
      </c>
      <c r="AN362" s="10">
        <v>188136.73797698281</v>
      </c>
      <c r="AO362" s="10">
        <v>188136.73797698281</v>
      </c>
      <c r="AP362" s="16">
        <f t="shared" si="6"/>
        <v>940683.68988491409</v>
      </c>
    </row>
    <row r="363" spans="1:42" x14ac:dyDescent="0.25">
      <c r="A363" s="6" t="s">
        <v>17</v>
      </c>
      <c r="B363" s="6" t="s">
        <v>18</v>
      </c>
      <c r="C363" s="6" t="s">
        <v>19</v>
      </c>
      <c r="D363" s="7" t="s">
        <v>20</v>
      </c>
      <c r="E363" s="7" t="s">
        <v>21</v>
      </c>
      <c r="F363" s="7" t="s">
        <v>22</v>
      </c>
      <c r="G363" s="7" t="s">
        <v>23</v>
      </c>
      <c r="H363" s="7" t="s">
        <v>24</v>
      </c>
      <c r="I363" s="6" t="s">
        <v>25</v>
      </c>
      <c r="J363" s="6"/>
      <c r="K363" s="6" t="s">
        <v>188</v>
      </c>
      <c r="L363" s="6" t="s">
        <v>189</v>
      </c>
      <c r="M363" s="10">
        <v>7130.1459479730502</v>
      </c>
      <c r="N363" s="10">
        <v>7130.1459479730502</v>
      </c>
      <c r="O363" s="10">
        <v>7130.1459479730502</v>
      </c>
      <c r="P363" s="10">
        <v>7130.1459479730502</v>
      </c>
      <c r="Q363" s="10">
        <v>7130.1459479730502</v>
      </c>
      <c r="R363" s="10">
        <v>7130.1459479730502</v>
      </c>
      <c r="S363" s="10">
        <v>7130.1459479730502</v>
      </c>
      <c r="T363" s="10">
        <v>7130.1459479730502</v>
      </c>
      <c r="U363" s="10">
        <v>7130.1459479730502</v>
      </c>
      <c r="V363" s="10">
        <v>7130.1459479730502</v>
      </c>
      <c r="W363" s="10">
        <v>7130.1459479730502</v>
      </c>
      <c r="X363" s="10">
        <v>7130.1459479730502</v>
      </c>
      <c r="Y363" s="10">
        <v>7130.1459479730502</v>
      </c>
      <c r="Z363" s="10">
        <v>7130.1459479730502</v>
      </c>
      <c r="AA363" s="10">
        <v>7130.1459479730502</v>
      </c>
      <c r="AB363" s="10">
        <v>7130.1459479730502</v>
      </c>
      <c r="AC363" s="10">
        <v>7130.1459479730502</v>
      </c>
      <c r="AD363" s="10">
        <v>7130.1459479730502</v>
      </c>
      <c r="AE363" s="10">
        <v>7130.1459479730502</v>
      </c>
      <c r="AF363" s="10">
        <v>7130.1459479730502</v>
      </c>
      <c r="AG363" s="10">
        <v>7130.1459479730502</v>
      </c>
      <c r="AH363" s="10">
        <v>7130.1459479730502</v>
      </c>
      <c r="AI363" s="10">
        <v>7130.1459479730502</v>
      </c>
      <c r="AJ363" s="10">
        <v>7130.1459479730502</v>
      </c>
      <c r="AK363" s="10">
        <v>85561.751375676598</v>
      </c>
      <c r="AL363" s="10">
        <v>85561.751375676598</v>
      </c>
      <c r="AM363" s="10">
        <v>85561.751375676598</v>
      </c>
      <c r="AN363" s="10">
        <v>85561.751375676598</v>
      </c>
      <c r="AO363" s="10">
        <v>85561.751375676598</v>
      </c>
      <c r="AP363" s="16">
        <f t="shared" si="6"/>
        <v>427808.75687838299</v>
      </c>
    </row>
    <row r="364" spans="1:42" x14ac:dyDescent="0.25">
      <c r="A364" s="6" t="s">
        <v>28</v>
      </c>
      <c r="B364" s="6" t="s">
        <v>18</v>
      </c>
      <c r="C364" s="6" t="s">
        <v>19</v>
      </c>
      <c r="D364" s="7" t="s">
        <v>20</v>
      </c>
      <c r="E364" s="7" t="s">
        <v>21</v>
      </c>
      <c r="F364" s="7" t="s">
        <v>22</v>
      </c>
      <c r="G364" s="7" t="s">
        <v>23</v>
      </c>
      <c r="H364" s="7" t="s">
        <v>29</v>
      </c>
      <c r="I364" s="6" t="s">
        <v>25</v>
      </c>
      <c r="J364" s="6"/>
      <c r="K364" s="6" t="s">
        <v>188</v>
      </c>
      <c r="L364" s="6" t="s">
        <v>189</v>
      </c>
      <c r="M364" s="10">
        <v>99610.248843834197</v>
      </c>
      <c r="N364" s="10">
        <v>49805.124421917099</v>
      </c>
      <c r="O364" s="10">
        <v>49805.124421917099</v>
      </c>
      <c r="P364" s="10">
        <v>49805.124421917099</v>
      </c>
      <c r="Q364" s="10">
        <v>49805.124421917099</v>
      </c>
      <c r="R364" s="10">
        <v>49805.124421917099</v>
      </c>
      <c r="S364" s="10">
        <v>49805.124421917099</v>
      </c>
      <c r="T364" s="10">
        <v>49805.124421917099</v>
      </c>
      <c r="U364" s="10">
        <v>49805.124421917099</v>
      </c>
      <c r="V364" s="10">
        <v>49805.124421917099</v>
      </c>
      <c r="W364" s="10">
        <v>49805.124421917099</v>
      </c>
      <c r="X364" s="10">
        <v>49805.124421917099</v>
      </c>
      <c r="Y364" s="10">
        <v>49805.124421917106</v>
      </c>
      <c r="Z364" s="10">
        <v>49805.124421917106</v>
      </c>
      <c r="AA364" s="10">
        <v>49805.124421917106</v>
      </c>
      <c r="AB364" s="10">
        <v>8300.8540703195158</v>
      </c>
      <c r="AC364" s="10">
        <v>4150.4270351597579</v>
      </c>
      <c r="AD364" s="10">
        <v>4150.4270351597579</v>
      </c>
      <c r="AE364" s="10">
        <v>4150.4270351597579</v>
      </c>
      <c r="AF364" s="10">
        <v>4150.4270351597579</v>
      </c>
      <c r="AG364" s="10">
        <v>4150.4270351597579</v>
      </c>
      <c r="AH364" s="10">
        <v>4150.4270351597579</v>
      </c>
      <c r="AI364" s="10">
        <v>4150.4270351597579</v>
      </c>
      <c r="AJ364" s="10">
        <v>4150.4270351597579</v>
      </c>
      <c r="AK364" s="10">
        <v>647466.61748492229</v>
      </c>
      <c r="AL364" s="10">
        <v>190919.64361734889</v>
      </c>
      <c r="AM364" s="10">
        <v>597661.49306300527</v>
      </c>
      <c r="AN364" s="10">
        <v>597661.49306300527</v>
      </c>
      <c r="AO364" s="10">
        <v>597661.49306300527</v>
      </c>
      <c r="AP364" s="16">
        <f t="shared" si="6"/>
        <v>2631370.7402912867</v>
      </c>
    </row>
    <row r="365" spans="1:42" x14ac:dyDescent="0.25">
      <c r="A365" s="6" t="s">
        <v>30</v>
      </c>
      <c r="B365" s="6" t="s">
        <v>18</v>
      </c>
      <c r="C365" s="6" t="s">
        <v>19</v>
      </c>
      <c r="D365" s="7" t="s">
        <v>20</v>
      </c>
      <c r="E365" s="7" t="s">
        <v>21</v>
      </c>
      <c r="F365" s="7" t="s">
        <v>22</v>
      </c>
      <c r="G365" s="7" t="s">
        <v>23</v>
      </c>
      <c r="H365" s="7" t="s">
        <v>31</v>
      </c>
      <c r="I365" s="6" t="s">
        <v>25</v>
      </c>
      <c r="J365" s="6"/>
      <c r="K365" s="6" t="s">
        <v>188</v>
      </c>
      <c r="L365" s="6" t="s">
        <v>189</v>
      </c>
      <c r="M365" s="10">
        <v>39004.853595449596</v>
      </c>
      <c r="N365" s="10">
        <v>19502.426797724798</v>
      </c>
      <c r="O365" s="10">
        <v>19502.426797724798</v>
      </c>
      <c r="P365" s="10">
        <v>19502.426797724798</v>
      </c>
      <c r="Q365" s="10">
        <v>19502.426797724798</v>
      </c>
      <c r="R365" s="10">
        <v>19502.426797724798</v>
      </c>
      <c r="S365" s="10">
        <v>19502.426797724798</v>
      </c>
      <c r="T365" s="10">
        <v>19502.426797724798</v>
      </c>
      <c r="U365" s="10">
        <v>19502.426797724798</v>
      </c>
      <c r="V365" s="10">
        <v>19502.426797724798</v>
      </c>
      <c r="W365" s="10">
        <v>19502.426797724798</v>
      </c>
      <c r="X365" s="10">
        <v>19502.426797724798</v>
      </c>
      <c r="Y365" s="10">
        <v>19502.426797724798</v>
      </c>
      <c r="Z365" s="10">
        <v>19502.426797724798</v>
      </c>
      <c r="AA365" s="10">
        <v>19502.426797724798</v>
      </c>
      <c r="AB365" s="10">
        <v>3250.4044662874662</v>
      </c>
      <c r="AC365" s="10">
        <v>1625.2022331437331</v>
      </c>
      <c r="AD365" s="10">
        <v>1625.2022331437331</v>
      </c>
      <c r="AE365" s="10">
        <v>1625.2022331437331</v>
      </c>
      <c r="AF365" s="10">
        <v>1625.2022331437331</v>
      </c>
      <c r="AG365" s="10">
        <v>1625.2022331437331</v>
      </c>
      <c r="AH365" s="10">
        <v>1625.2022331437331</v>
      </c>
      <c r="AI365" s="10">
        <v>1625.2022331437331</v>
      </c>
      <c r="AJ365" s="10">
        <v>1625.2022331437331</v>
      </c>
      <c r="AK365" s="10">
        <v>253531.54837042236</v>
      </c>
      <c r="AL365" s="10">
        <v>74759.302724611771</v>
      </c>
      <c r="AM365" s="10">
        <v>234029.12157269756</v>
      </c>
      <c r="AN365" s="10">
        <v>234029.12157269756</v>
      </c>
      <c r="AO365" s="10">
        <v>234029.12157269756</v>
      </c>
      <c r="AP365" s="16">
        <f t="shared" si="6"/>
        <v>1030378.2158131268</v>
      </c>
    </row>
    <row r="366" spans="1:42" x14ac:dyDescent="0.25">
      <c r="A366" s="6" t="s">
        <v>32</v>
      </c>
      <c r="B366" s="6" t="s">
        <v>18</v>
      </c>
      <c r="C366" s="6" t="s">
        <v>19</v>
      </c>
      <c r="D366" s="7" t="s">
        <v>20</v>
      </c>
      <c r="E366" s="7" t="s">
        <v>21</v>
      </c>
      <c r="F366" s="7" t="s">
        <v>22</v>
      </c>
      <c r="G366" s="7" t="s">
        <v>23</v>
      </c>
      <c r="H366" s="7" t="s">
        <v>33</v>
      </c>
      <c r="I366" s="6" t="s">
        <v>25</v>
      </c>
      <c r="J366" s="6"/>
      <c r="K366" s="6" t="s">
        <v>188</v>
      </c>
      <c r="L366" s="6" t="s">
        <v>189</v>
      </c>
      <c r="M366" s="10">
        <v>10157.624059733093</v>
      </c>
      <c r="N366" s="10">
        <v>5078.8120298665463</v>
      </c>
      <c r="O366" s="10">
        <v>5078.8120298665463</v>
      </c>
      <c r="P366" s="10">
        <v>5078.8120298665463</v>
      </c>
      <c r="Q366" s="10">
        <v>5078.8120298665463</v>
      </c>
      <c r="R366" s="10">
        <v>5078.8120298665463</v>
      </c>
      <c r="S366" s="10">
        <v>5078.8120298665463</v>
      </c>
      <c r="T366" s="10">
        <v>5078.8120298665463</v>
      </c>
      <c r="U366" s="10">
        <v>5078.8120298665463</v>
      </c>
      <c r="V366" s="10">
        <v>5078.8120298665463</v>
      </c>
      <c r="W366" s="10">
        <v>5078.8120298665463</v>
      </c>
      <c r="X366" s="10">
        <v>5078.8120298665463</v>
      </c>
      <c r="Y366" s="10">
        <v>5078.8120298665463</v>
      </c>
      <c r="Z366" s="10">
        <v>5078.8120298665463</v>
      </c>
      <c r="AA366" s="10">
        <v>5078.8120298665463</v>
      </c>
      <c r="AB366" s="10">
        <v>846.46867164442438</v>
      </c>
      <c r="AC366" s="10">
        <v>423.23433582221219</v>
      </c>
      <c r="AD366" s="10">
        <v>423.23433582221219</v>
      </c>
      <c r="AE366" s="10">
        <v>423.23433582221219</v>
      </c>
      <c r="AF366" s="10">
        <v>423.23433582221219</v>
      </c>
      <c r="AG366" s="10">
        <v>423.23433582221219</v>
      </c>
      <c r="AH366" s="10">
        <v>423.23433582221219</v>
      </c>
      <c r="AI366" s="10">
        <v>423.23433582221219</v>
      </c>
      <c r="AJ366" s="10">
        <v>423.23433582221219</v>
      </c>
      <c r="AK366" s="10">
        <v>66024.556388265104</v>
      </c>
      <c r="AL366" s="10">
        <v>19468.779447821747</v>
      </c>
      <c r="AM366" s="10">
        <v>33858.746865776957</v>
      </c>
      <c r="AN366" s="10">
        <v>62638.681701687383</v>
      </c>
      <c r="AO366" s="10">
        <v>60945.744358398559</v>
      </c>
      <c r="AP366" s="16">
        <f t="shared" si="6"/>
        <v>242936.50876194972</v>
      </c>
    </row>
    <row r="367" spans="1:42" x14ac:dyDescent="0.25">
      <c r="A367" s="6" t="s">
        <v>34</v>
      </c>
      <c r="B367" s="6" t="s">
        <v>18</v>
      </c>
      <c r="C367" s="6" t="s">
        <v>19</v>
      </c>
      <c r="D367" s="7" t="s">
        <v>20</v>
      </c>
      <c r="E367" s="7" t="s">
        <v>21</v>
      </c>
      <c r="F367" s="7" t="s">
        <v>22</v>
      </c>
      <c r="G367" s="7" t="s">
        <v>23</v>
      </c>
      <c r="H367" s="7" t="s">
        <v>35</v>
      </c>
      <c r="I367" s="6" t="s">
        <v>25</v>
      </c>
      <c r="J367" s="6"/>
      <c r="K367" s="6" t="s">
        <v>188</v>
      </c>
      <c r="L367" s="6" t="s">
        <v>189</v>
      </c>
      <c r="M367" s="10">
        <v>62624.236242566738</v>
      </c>
      <c r="N367" s="10">
        <v>31312.118121283369</v>
      </c>
      <c r="O367" s="10">
        <v>31312.118121283369</v>
      </c>
      <c r="P367" s="10">
        <v>31312.118121283369</v>
      </c>
      <c r="Q367" s="10">
        <v>31312.118121283369</v>
      </c>
      <c r="R367" s="10">
        <v>31312.118121283369</v>
      </c>
      <c r="S367" s="10">
        <v>31312.118121283369</v>
      </c>
      <c r="T367" s="10">
        <v>31312.118121283369</v>
      </c>
      <c r="U367" s="10">
        <v>31312.118121283369</v>
      </c>
      <c r="V367" s="10">
        <v>31312.118121283369</v>
      </c>
      <c r="W367" s="10">
        <v>31312.118121283369</v>
      </c>
      <c r="X367" s="10">
        <v>31312.118121283369</v>
      </c>
      <c r="Y367" s="10">
        <v>31312.118121283369</v>
      </c>
      <c r="Z367" s="10">
        <v>31312.118121283369</v>
      </c>
      <c r="AA367" s="10">
        <v>31312.118121283369</v>
      </c>
      <c r="AB367" s="10">
        <v>5218.6863535472285</v>
      </c>
      <c r="AC367" s="10">
        <v>2609.3431767736142</v>
      </c>
      <c r="AD367" s="10">
        <v>2609.3431767736142</v>
      </c>
      <c r="AE367" s="10">
        <v>2609.3431767736142</v>
      </c>
      <c r="AF367" s="10">
        <v>2609.3431767736142</v>
      </c>
      <c r="AG367" s="10">
        <v>2609.3431767736142</v>
      </c>
      <c r="AH367" s="10">
        <v>2609.3431767736142</v>
      </c>
      <c r="AI367" s="10">
        <v>2609.3431767736142</v>
      </c>
      <c r="AJ367" s="10">
        <v>2609.3431767736142</v>
      </c>
      <c r="AK367" s="10">
        <v>407057.53557668382</v>
      </c>
      <c r="AL367" s="10">
        <v>120029.78613158625</v>
      </c>
      <c r="AM367" s="10">
        <v>375745.41745540046</v>
      </c>
      <c r="AN367" s="10">
        <v>375745.41745540046</v>
      </c>
      <c r="AO367" s="10">
        <v>375745.41745540046</v>
      </c>
      <c r="AP367" s="16">
        <f t="shared" si="6"/>
        <v>1654323.5740744714</v>
      </c>
    </row>
    <row r="368" spans="1:42" x14ac:dyDescent="0.25">
      <c r="A368" s="6" t="s">
        <v>38</v>
      </c>
      <c r="B368" s="6" t="s">
        <v>18</v>
      </c>
      <c r="C368" s="6" t="s">
        <v>19</v>
      </c>
      <c r="D368" s="7" t="s">
        <v>20</v>
      </c>
      <c r="E368" s="7" t="s">
        <v>21</v>
      </c>
      <c r="F368" s="7" t="s">
        <v>22</v>
      </c>
      <c r="G368" s="7" t="s">
        <v>23</v>
      </c>
      <c r="H368" s="7" t="s">
        <v>39</v>
      </c>
      <c r="I368" s="6" t="s">
        <v>25</v>
      </c>
      <c r="J368" s="6"/>
      <c r="K368" s="6" t="s">
        <v>188</v>
      </c>
      <c r="L368" s="6" t="s">
        <v>189</v>
      </c>
      <c r="M368" s="10">
        <v>3055.7768348455929</v>
      </c>
      <c r="N368" s="10">
        <v>3055.7768348455929</v>
      </c>
      <c r="O368" s="10">
        <v>3055.7768348455929</v>
      </c>
      <c r="P368" s="10">
        <v>3055.7768348455929</v>
      </c>
      <c r="Q368" s="10">
        <v>3055.7768348455929</v>
      </c>
      <c r="R368" s="10">
        <v>3055.7768348455929</v>
      </c>
      <c r="S368" s="10">
        <v>3055.7768348455929</v>
      </c>
      <c r="T368" s="10">
        <v>3055.7768348455929</v>
      </c>
      <c r="U368" s="10">
        <v>3055.7768348455929</v>
      </c>
      <c r="V368" s="10">
        <v>3055.7768348455929</v>
      </c>
      <c r="W368" s="10">
        <v>3055.7768348455929</v>
      </c>
      <c r="X368" s="10">
        <v>3055.7768348455929</v>
      </c>
      <c r="Y368" s="10">
        <v>3055.7768348455929</v>
      </c>
      <c r="Z368" s="10">
        <v>3055.7768348455929</v>
      </c>
      <c r="AA368" s="10">
        <v>3055.7768348455929</v>
      </c>
      <c r="AB368" s="10">
        <v>3055.7768348455929</v>
      </c>
      <c r="AC368" s="10">
        <v>3055.7768348455929</v>
      </c>
      <c r="AD368" s="10">
        <v>3055.7768348455929</v>
      </c>
      <c r="AE368" s="10">
        <v>3055.7768348455929</v>
      </c>
      <c r="AF368" s="10">
        <v>3055.7768348455929</v>
      </c>
      <c r="AG368" s="10">
        <v>3055.7768348455929</v>
      </c>
      <c r="AH368" s="10">
        <v>3055.7768348455929</v>
      </c>
      <c r="AI368" s="10">
        <v>3055.7768348455929</v>
      </c>
      <c r="AJ368" s="10">
        <v>3055.7768348455929</v>
      </c>
      <c r="AK368" s="10">
        <v>36669.322018147112</v>
      </c>
      <c r="AL368" s="10">
        <v>36669.322018147112</v>
      </c>
      <c r="AM368" s="10">
        <v>70282.867201448636</v>
      </c>
      <c r="AN368" s="10">
        <v>137509.95756805167</v>
      </c>
      <c r="AO368" s="10">
        <v>0</v>
      </c>
      <c r="AP368" s="16">
        <f t="shared" si="6"/>
        <v>281131.46880579449</v>
      </c>
    </row>
    <row r="369" spans="1:42" x14ac:dyDescent="0.25">
      <c r="A369" s="6" t="s">
        <v>40</v>
      </c>
      <c r="B369" s="6" t="s">
        <v>18</v>
      </c>
      <c r="C369" s="6" t="s">
        <v>19</v>
      </c>
      <c r="D369" s="7" t="s">
        <v>20</v>
      </c>
      <c r="E369" s="7" t="s">
        <v>21</v>
      </c>
      <c r="F369" s="7" t="s">
        <v>22</v>
      </c>
      <c r="G369" s="7" t="s">
        <v>23</v>
      </c>
      <c r="H369" s="7" t="s">
        <v>41</v>
      </c>
      <c r="I369" s="6" t="s">
        <v>25</v>
      </c>
      <c r="J369" s="6"/>
      <c r="K369" s="6" t="s">
        <v>188</v>
      </c>
      <c r="L369" s="6" t="s">
        <v>189</v>
      </c>
      <c r="M369" s="10">
        <v>7130.1459479730502</v>
      </c>
      <c r="N369" s="10">
        <v>7130.1459479730502</v>
      </c>
      <c r="O369" s="10">
        <v>7130.1459479730502</v>
      </c>
      <c r="P369" s="10">
        <v>7130.1459479730502</v>
      </c>
      <c r="Q369" s="10">
        <v>7130.1459479730502</v>
      </c>
      <c r="R369" s="10">
        <v>7130.1459479730502</v>
      </c>
      <c r="S369" s="10">
        <v>7130.1459479730502</v>
      </c>
      <c r="T369" s="10">
        <v>7130.1459479730502</v>
      </c>
      <c r="U369" s="10">
        <v>7130.1459479730502</v>
      </c>
      <c r="V369" s="10">
        <v>7130.1459479730502</v>
      </c>
      <c r="W369" s="10">
        <v>7130.1459479730502</v>
      </c>
      <c r="X369" s="10">
        <v>7130.1459479730502</v>
      </c>
      <c r="Y369" s="10">
        <v>7130.1459479730502</v>
      </c>
      <c r="Z369" s="10">
        <v>7130.1459479730502</v>
      </c>
      <c r="AA369" s="10">
        <v>7130.1459479730502</v>
      </c>
      <c r="AB369" s="10">
        <v>7130.1459479730502</v>
      </c>
      <c r="AC369" s="10">
        <v>7130.1459479730502</v>
      </c>
      <c r="AD369" s="10">
        <v>7130.1459479730502</v>
      </c>
      <c r="AE369" s="10">
        <v>7130.1459479730502</v>
      </c>
      <c r="AF369" s="10">
        <v>7130.1459479730502</v>
      </c>
      <c r="AG369" s="10">
        <v>7130.1459479730502</v>
      </c>
      <c r="AH369" s="10">
        <v>7130.1459479730502</v>
      </c>
      <c r="AI369" s="10">
        <v>7130.1459479730502</v>
      </c>
      <c r="AJ369" s="10">
        <v>7130.1459479730502</v>
      </c>
      <c r="AK369" s="10">
        <v>85561.751375676598</v>
      </c>
      <c r="AL369" s="10">
        <v>85561.751375676598</v>
      </c>
      <c r="AM369" s="10">
        <v>163993.35680338013</v>
      </c>
      <c r="AN369" s="10">
        <v>320856.56765878724</v>
      </c>
      <c r="AO369" s="10">
        <v>634582.98936960136</v>
      </c>
      <c r="AP369" s="16">
        <f t="shared" si="6"/>
        <v>1290556.4165831218</v>
      </c>
    </row>
    <row r="370" spans="1:42" x14ac:dyDescent="0.25">
      <c r="A370" s="6" t="s">
        <v>98</v>
      </c>
      <c r="B370" s="6" t="s">
        <v>18</v>
      </c>
      <c r="C370" s="6" t="s">
        <v>19</v>
      </c>
      <c r="D370" s="7" t="s">
        <v>20</v>
      </c>
      <c r="E370" s="7" t="s">
        <v>21</v>
      </c>
      <c r="F370" s="7" t="s">
        <v>22</v>
      </c>
      <c r="G370" s="7" t="s">
        <v>23</v>
      </c>
      <c r="H370" s="7" t="s">
        <v>99</v>
      </c>
      <c r="I370" s="6" t="s">
        <v>25</v>
      </c>
      <c r="J370" s="6"/>
      <c r="K370" s="6" t="s">
        <v>188</v>
      </c>
      <c r="L370" s="6" t="s">
        <v>189</v>
      </c>
      <c r="M370" s="10">
        <v>7130.1459479730502</v>
      </c>
      <c r="N370" s="10">
        <v>7130.1459479730502</v>
      </c>
      <c r="O370" s="10">
        <v>7130.1459479730502</v>
      </c>
      <c r="P370" s="10">
        <v>7130.1459479730502</v>
      </c>
      <c r="Q370" s="10">
        <v>7130.1459479730502</v>
      </c>
      <c r="R370" s="10">
        <v>7130.1459479730502</v>
      </c>
      <c r="S370" s="10">
        <v>7130.1459479730502</v>
      </c>
      <c r="T370" s="10">
        <v>7130.1459479730502</v>
      </c>
      <c r="U370" s="10">
        <v>7130.1459479730502</v>
      </c>
      <c r="V370" s="10">
        <v>7130.1459479730502</v>
      </c>
      <c r="W370" s="10">
        <v>7130.1459479730502</v>
      </c>
      <c r="X370" s="10">
        <v>7130.1459479730502</v>
      </c>
      <c r="Y370" s="10">
        <v>7130.1459479730502</v>
      </c>
      <c r="Z370" s="10">
        <v>7130.1459479730502</v>
      </c>
      <c r="AA370" s="10">
        <v>7130.1459479730502</v>
      </c>
      <c r="AB370" s="10">
        <v>7130.1459479730502</v>
      </c>
      <c r="AC370" s="10">
        <v>7130.1459479730502</v>
      </c>
      <c r="AD370" s="10">
        <v>7130.1459479730502</v>
      </c>
      <c r="AE370" s="10">
        <v>7130.1459479730502</v>
      </c>
      <c r="AF370" s="10">
        <v>7130.1459479730502</v>
      </c>
      <c r="AG370" s="10">
        <v>7130.1459479730502</v>
      </c>
      <c r="AH370" s="10">
        <v>7130.1459479730502</v>
      </c>
      <c r="AI370" s="10">
        <v>7130.1459479730502</v>
      </c>
      <c r="AJ370" s="10">
        <v>7130.1459479730502</v>
      </c>
      <c r="AK370" s="10">
        <v>85561.751375676598</v>
      </c>
      <c r="AL370" s="10">
        <v>85561.751375676598</v>
      </c>
      <c r="AM370" s="10">
        <v>85561.751375676598</v>
      </c>
      <c r="AN370" s="10">
        <v>85561.751375676598</v>
      </c>
      <c r="AO370" s="10">
        <v>85561.751375676598</v>
      </c>
      <c r="AP370" s="16">
        <f t="shared" si="6"/>
        <v>427808.75687838299</v>
      </c>
    </row>
    <row r="371" spans="1:42" x14ac:dyDescent="0.25">
      <c r="A371" s="6" t="s">
        <v>36</v>
      </c>
      <c r="B371" s="6" t="s">
        <v>18</v>
      </c>
      <c r="C371" s="6" t="s">
        <v>19</v>
      </c>
      <c r="D371" s="7" t="s">
        <v>20</v>
      </c>
      <c r="E371" s="7" t="s">
        <v>21</v>
      </c>
      <c r="F371" s="7" t="s">
        <v>22</v>
      </c>
      <c r="G371" s="7" t="s">
        <v>23</v>
      </c>
      <c r="H371" s="7" t="s">
        <v>37</v>
      </c>
      <c r="I371" s="6" t="s">
        <v>25</v>
      </c>
      <c r="J371" s="6"/>
      <c r="K371" s="6" t="s">
        <v>190</v>
      </c>
      <c r="L371" s="6" t="s">
        <v>191</v>
      </c>
      <c r="M371" s="10">
        <v>16259.949717540147</v>
      </c>
      <c r="N371" s="10">
        <v>16259.949717540147</v>
      </c>
      <c r="O371" s="10">
        <v>16259.949717540147</v>
      </c>
      <c r="P371" s="10">
        <v>16259.949717540147</v>
      </c>
      <c r="Q371" s="10">
        <v>16259.949717540147</v>
      </c>
      <c r="R371" s="10">
        <v>16259.949717540147</v>
      </c>
      <c r="S371" s="10">
        <v>16259.949717540147</v>
      </c>
      <c r="T371" s="10">
        <v>16259.949717540147</v>
      </c>
      <c r="U371" s="10">
        <v>16259.949717540147</v>
      </c>
      <c r="V371" s="10">
        <v>16259.949717540147</v>
      </c>
      <c r="W371" s="10">
        <v>16259.949717540147</v>
      </c>
      <c r="X371" s="10">
        <v>16259.949717540147</v>
      </c>
      <c r="Y371" s="10">
        <v>15009.18435465244</v>
      </c>
      <c r="Z371" s="10">
        <v>15009.18435465244</v>
      </c>
      <c r="AA371" s="10">
        <v>15009.18435465244</v>
      </c>
      <c r="AB371" s="10">
        <v>15009.18435465244</v>
      </c>
      <c r="AC371" s="10">
        <v>15009.18435465244</v>
      </c>
      <c r="AD371" s="10">
        <v>15009.18435465244</v>
      </c>
      <c r="AE371" s="10">
        <v>15009.18435465244</v>
      </c>
      <c r="AF371" s="10">
        <v>15009.18435465244</v>
      </c>
      <c r="AG371" s="10">
        <v>15009.18435465244</v>
      </c>
      <c r="AH371" s="10">
        <v>15009.18435465244</v>
      </c>
      <c r="AI371" s="10">
        <v>15009.18435465244</v>
      </c>
      <c r="AJ371" s="10">
        <v>15009.18435465244</v>
      </c>
      <c r="AK371" s="10">
        <v>195119.39661048172</v>
      </c>
      <c r="AL371" s="10">
        <v>180110.2122558293</v>
      </c>
      <c r="AM371" s="10">
        <v>180110.21225582925</v>
      </c>
      <c r="AN371" s="10">
        <v>180110.21225582925</v>
      </c>
      <c r="AO371" s="10">
        <v>16259.949717540147</v>
      </c>
      <c r="AP371" s="16">
        <f t="shared" si="6"/>
        <v>751709.9830955097</v>
      </c>
    </row>
    <row r="372" spans="1:42" x14ac:dyDescent="0.25">
      <c r="A372" s="6" t="s">
        <v>28</v>
      </c>
      <c r="B372" s="6" t="s">
        <v>18</v>
      </c>
      <c r="C372" s="6" t="s">
        <v>62</v>
      </c>
      <c r="D372" s="7" t="s">
        <v>63</v>
      </c>
      <c r="E372" s="7" t="s">
        <v>21</v>
      </c>
      <c r="F372" s="7" t="s">
        <v>64</v>
      </c>
      <c r="G372" s="7" t="s">
        <v>23</v>
      </c>
      <c r="H372" s="7" t="s">
        <v>65</v>
      </c>
      <c r="I372" s="6" t="s">
        <v>129</v>
      </c>
      <c r="J372" s="6"/>
      <c r="K372" s="6" t="s">
        <v>192</v>
      </c>
      <c r="L372" s="6" t="s">
        <v>193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29720.552114794762</v>
      </c>
      <c r="U372" s="10">
        <v>0</v>
      </c>
      <c r="V372" s="10">
        <v>74301.380286986911</v>
      </c>
      <c r="W372" s="10">
        <v>0</v>
      </c>
      <c r="X372" s="10">
        <v>133742.48451657646</v>
      </c>
      <c r="Y372" s="10">
        <v>0</v>
      </c>
      <c r="Z372" s="10">
        <v>59441.104229589524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  <c r="AI372" s="10">
        <v>0</v>
      </c>
      <c r="AJ372" s="10">
        <v>0</v>
      </c>
      <c r="AK372" s="10">
        <v>237764.4169183581</v>
      </c>
      <c r="AL372" s="10">
        <v>59441.104229589524</v>
      </c>
      <c r="AM372" s="10">
        <v>0</v>
      </c>
      <c r="AN372" s="10">
        <v>0</v>
      </c>
      <c r="AO372" s="10">
        <v>0</v>
      </c>
      <c r="AP372" s="16">
        <f t="shared" si="6"/>
        <v>297205.52114794764</v>
      </c>
    </row>
    <row r="373" spans="1:42" x14ac:dyDescent="0.25">
      <c r="A373" s="6" t="s">
        <v>30</v>
      </c>
      <c r="B373" s="6" t="s">
        <v>18</v>
      </c>
      <c r="C373" s="6" t="s">
        <v>62</v>
      </c>
      <c r="D373" s="7" t="s">
        <v>63</v>
      </c>
      <c r="E373" s="7" t="s">
        <v>21</v>
      </c>
      <c r="F373" s="7" t="s">
        <v>64</v>
      </c>
      <c r="G373" s="7" t="s">
        <v>23</v>
      </c>
      <c r="H373" s="7" t="s">
        <v>69</v>
      </c>
      <c r="I373" s="6" t="s">
        <v>129</v>
      </c>
      <c r="J373" s="6"/>
      <c r="K373" s="6" t="s">
        <v>192</v>
      </c>
      <c r="L373" s="6" t="s">
        <v>193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11588.230532692498</v>
      </c>
      <c r="U373" s="10">
        <v>0</v>
      </c>
      <c r="V373" s="10">
        <v>28970.576331731241</v>
      </c>
      <c r="W373" s="10">
        <v>0</v>
      </c>
      <c r="X373" s="10">
        <v>52147.037397116248</v>
      </c>
      <c r="Y373" s="10">
        <v>0</v>
      </c>
      <c r="Z373" s="10">
        <v>23176.461065384996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  <c r="AI373" s="10">
        <v>0</v>
      </c>
      <c r="AJ373" s="10">
        <v>0</v>
      </c>
      <c r="AK373" s="10">
        <v>92705.844261539984</v>
      </c>
      <c r="AL373" s="10">
        <v>23176.461065384996</v>
      </c>
      <c r="AM373" s="10">
        <v>0</v>
      </c>
      <c r="AN373" s="10">
        <v>0</v>
      </c>
      <c r="AO373" s="10">
        <v>0</v>
      </c>
      <c r="AP373" s="16">
        <f t="shared" si="6"/>
        <v>115882.30532692498</v>
      </c>
    </row>
    <row r="374" spans="1:42" x14ac:dyDescent="0.25">
      <c r="A374" s="6" t="s">
        <v>32</v>
      </c>
      <c r="B374" s="6" t="s">
        <v>18</v>
      </c>
      <c r="C374" s="6" t="s">
        <v>62</v>
      </c>
      <c r="D374" s="7" t="s">
        <v>63</v>
      </c>
      <c r="E374" s="7" t="s">
        <v>21</v>
      </c>
      <c r="F374" s="7" t="s">
        <v>64</v>
      </c>
      <c r="G374" s="7" t="s">
        <v>23</v>
      </c>
      <c r="H374" s="7" t="s">
        <v>70</v>
      </c>
      <c r="I374" s="6" t="s">
        <v>129</v>
      </c>
      <c r="J374" s="6"/>
      <c r="K374" s="6" t="s">
        <v>192</v>
      </c>
      <c r="L374" s="6" t="s">
        <v>193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3050.5336073415046</v>
      </c>
      <c r="U374" s="10">
        <v>0</v>
      </c>
      <c r="V374" s="10">
        <v>7626.3340183537603</v>
      </c>
      <c r="W374" s="10">
        <v>0</v>
      </c>
      <c r="X374" s="10">
        <v>13727.401233036771</v>
      </c>
      <c r="Y374" s="10">
        <v>0</v>
      </c>
      <c r="Z374" s="10">
        <v>6101.0672146830093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  <c r="AI374" s="10">
        <v>0</v>
      </c>
      <c r="AJ374" s="10">
        <v>0</v>
      </c>
      <c r="AK374" s="10">
        <v>24404.268858732037</v>
      </c>
      <c r="AL374" s="10">
        <v>6101.0672146830093</v>
      </c>
      <c r="AM374" s="10">
        <v>0</v>
      </c>
      <c r="AN374" s="10">
        <v>0</v>
      </c>
      <c r="AO374" s="10">
        <v>0</v>
      </c>
      <c r="AP374" s="16">
        <f t="shared" si="6"/>
        <v>30505.336073415048</v>
      </c>
    </row>
    <row r="375" spans="1:42" x14ac:dyDescent="0.25">
      <c r="A375" s="6" t="s">
        <v>34</v>
      </c>
      <c r="B375" s="6" t="s">
        <v>18</v>
      </c>
      <c r="C375" s="6" t="s">
        <v>62</v>
      </c>
      <c r="D375" s="7" t="s">
        <v>63</v>
      </c>
      <c r="E375" s="7" t="s">
        <v>21</v>
      </c>
      <c r="F375" s="7" t="s">
        <v>64</v>
      </c>
      <c r="G375" s="7" t="s">
        <v>23</v>
      </c>
      <c r="H375" s="7" t="s">
        <v>71</v>
      </c>
      <c r="I375" s="6" t="s">
        <v>129</v>
      </c>
      <c r="J375" s="6"/>
      <c r="K375" s="6" t="s">
        <v>192</v>
      </c>
      <c r="L375" s="6" t="s">
        <v>193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18929.763435560242</v>
      </c>
      <c r="U375" s="10">
        <v>0</v>
      </c>
      <c r="V375" s="10">
        <v>47324.408588900609</v>
      </c>
      <c r="W375" s="10">
        <v>0</v>
      </c>
      <c r="X375" s="10">
        <v>85183.935460021079</v>
      </c>
      <c r="Y375" s="10">
        <v>0</v>
      </c>
      <c r="Z375" s="10">
        <v>37859.526871120484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  <c r="AI375" s="10">
        <v>0</v>
      </c>
      <c r="AJ375" s="10">
        <v>0</v>
      </c>
      <c r="AK375" s="10">
        <v>151438.10748448194</v>
      </c>
      <c r="AL375" s="10">
        <v>37859.526871120484</v>
      </c>
      <c r="AM375" s="10">
        <v>0</v>
      </c>
      <c r="AN375" s="10">
        <v>0</v>
      </c>
      <c r="AO375" s="10">
        <v>0</v>
      </c>
      <c r="AP375" s="16">
        <f t="shared" si="6"/>
        <v>189297.63435560244</v>
      </c>
    </row>
    <row r="376" spans="1:42" x14ac:dyDescent="0.25">
      <c r="A376" s="6" t="s">
        <v>28</v>
      </c>
      <c r="B376" s="6" t="s">
        <v>18</v>
      </c>
      <c r="C376" s="6" t="s">
        <v>19</v>
      </c>
      <c r="D376" s="7" t="s">
        <v>20</v>
      </c>
      <c r="E376" s="7" t="s">
        <v>21</v>
      </c>
      <c r="F376" s="7" t="s">
        <v>22</v>
      </c>
      <c r="G376" s="7" t="s">
        <v>23</v>
      </c>
      <c r="H376" s="7" t="s">
        <v>29</v>
      </c>
      <c r="I376" s="6" t="s">
        <v>25</v>
      </c>
      <c r="J376" s="6"/>
      <c r="K376" s="6" t="s">
        <v>194</v>
      </c>
      <c r="L376" s="6" t="s">
        <v>195</v>
      </c>
      <c r="M376" s="10">
        <v>15163.326574093624</v>
      </c>
      <c r="N376" s="10">
        <v>15163.326574093624</v>
      </c>
      <c r="O376" s="10">
        <v>15163.326574093624</v>
      </c>
      <c r="P376" s="10">
        <v>15163.326574093624</v>
      </c>
      <c r="Q376" s="10">
        <v>15163.326574093624</v>
      </c>
      <c r="R376" s="10">
        <v>15163.326574093624</v>
      </c>
      <c r="S376" s="10">
        <v>15163.326574093624</v>
      </c>
      <c r="T376" s="10">
        <v>15163.326574093624</v>
      </c>
      <c r="U376" s="10">
        <v>15163.326574093624</v>
      </c>
      <c r="V376" s="10">
        <v>15163.326574093624</v>
      </c>
      <c r="W376" s="10">
        <v>15163.326574093624</v>
      </c>
      <c r="X376" s="10">
        <v>15163.326574093624</v>
      </c>
      <c r="Y376" s="10">
        <v>13646.99391668426</v>
      </c>
      <c r="Z376" s="10">
        <v>13646.99391668426</v>
      </c>
      <c r="AA376" s="10">
        <v>13646.99391668426</v>
      </c>
      <c r="AB376" s="10">
        <v>1263.6105478411355</v>
      </c>
      <c r="AC376" s="10">
        <v>1263.6105478411355</v>
      </c>
      <c r="AD376" s="10">
        <v>1263.6105478411355</v>
      </c>
      <c r="AE376" s="10">
        <v>1263.6105478411355</v>
      </c>
      <c r="AF376" s="10">
        <v>1263.6105478411355</v>
      </c>
      <c r="AG376" s="10">
        <v>1263.6105478411355</v>
      </c>
      <c r="AH376" s="10">
        <v>1263.6105478411355</v>
      </c>
      <c r="AI376" s="10">
        <v>1263.6105478411355</v>
      </c>
      <c r="AJ376" s="10">
        <v>1263.6105478411355</v>
      </c>
      <c r="AK376" s="10">
        <v>181959.91888912345</v>
      </c>
      <c r="AL376" s="10">
        <v>52313.476680623011</v>
      </c>
      <c r="AM376" s="10">
        <v>163763.92700021114</v>
      </c>
      <c r="AN376" s="10">
        <v>163763.92700021114</v>
      </c>
      <c r="AO376" s="10">
        <v>163763.92700021114</v>
      </c>
      <c r="AP376" s="16">
        <f t="shared" si="6"/>
        <v>725565.17657037987</v>
      </c>
    </row>
    <row r="377" spans="1:42" x14ac:dyDescent="0.25">
      <c r="A377" s="6" t="s">
        <v>30</v>
      </c>
      <c r="B377" s="6" t="s">
        <v>18</v>
      </c>
      <c r="C377" s="6" t="s">
        <v>19</v>
      </c>
      <c r="D377" s="7" t="s">
        <v>20</v>
      </c>
      <c r="E377" s="7" t="s">
        <v>21</v>
      </c>
      <c r="F377" s="7" t="s">
        <v>22</v>
      </c>
      <c r="G377" s="7" t="s">
        <v>23</v>
      </c>
      <c r="H377" s="7" t="s">
        <v>31</v>
      </c>
      <c r="I377" s="6" t="s">
        <v>25</v>
      </c>
      <c r="J377" s="6"/>
      <c r="K377" s="6" t="s">
        <v>194</v>
      </c>
      <c r="L377" s="6" t="s">
        <v>195</v>
      </c>
      <c r="M377" s="10">
        <v>5948.7263711226597</v>
      </c>
      <c r="N377" s="10">
        <v>5948.7263711226597</v>
      </c>
      <c r="O377" s="10">
        <v>5948.7263711226597</v>
      </c>
      <c r="P377" s="10">
        <v>5948.7263711226597</v>
      </c>
      <c r="Q377" s="10">
        <v>5948.7263711226597</v>
      </c>
      <c r="R377" s="10">
        <v>5948.7263711226597</v>
      </c>
      <c r="S377" s="10">
        <v>5948.7263711226597</v>
      </c>
      <c r="T377" s="10">
        <v>5948.7263711226597</v>
      </c>
      <c r="U377" s="10">
        <v>5948.7263711226597</v>
      </c>
      <c r="V377" s="10">
        <v>5948.7263711226597</v>
      </c>
      <c r="W377" s="10">
        <v>5948.7263711226597</v>
      </c>
      <c r="X377" s="10">
        <v>5948.7263711226597</v>
      </c>
      <c r="Y377" s="10">
        <v>5353.8537340103921</v>
      </c>
      <c r="Z377" s="10">
        <v>5353.8537340103921</v>
      </c>
      <c r="AA377" s="10">
        <v>5353.8537340103921</v>
      </c>
      <c r="AB377" s="10">
        <v>495.72719759355493</v>
      </c>
      <c r="AC377" s="10">
        <v>495.72719759355493</v>
      </c>
      <c r="AD377" s="10">
        <v>495.72719759355493</v>
      </c>
      <c r="AE377" s="10">
        <v>495.72719759355493</v>
      </c>
      <c r="AF377" s="10">
        <v>495.72719759355493</v>
      </c>
      <c r="AG377" s="10">
        <v>495.72719759355493</v>
      </c>
      <c r="AH377" s="10">
        <v>495.72719759355493</v>
      </c>
      <c r="AI377" s="10">
        <v>495.72719759355493</v>
      </c>
      <c r="AJ377" s="10">
        <v>495.72719759355493</v>
      </c>
      <c r="AK377" s="10">
        <v>71384.716453471905</v>
      </c>
      <c r="AL377" s="10">
        <v>20523.105980373166</v>
      </c>
      <c r="AM377" s="10">
        <v>64246.244808124706</v>
      </c>
      <c r="AN377" s="10">
        <v>64246.244808124706</v>
      </c>
      <c r="AO377" s="10">
        <v>64246.244808124706</v>
      </c>
      <c r="AP377" s="16">
        <f t="shared" si="6"/>
        <v>284646.55685821921</v>
      </c>
    </row>
    <row r="378" spans="1:42" x14ac:dyDescent="0.25">
      <c r="A378" s="6" t="s">
        <v>32</v>
      </c>
      <c r="B378" s="6" t="s">
        <v>18</v>
      </c>
      <c r="C378" s="6" t="s">
        <v>19</v>
      </c>
      <c r="D378" s="7" t="s">
        <v>20</v>
      </c>
      <c r="E378" s="7" t="s">
        <v>21</v>
      </c>
      <c r="F378" s="7" t="s">
        <v>22</v>
      </c>
      <c r="G378" s="7" t="s">
        <v>23</v>
      </c>
      <c r="H378" s="7" t="s">
        <v>33</v>
      </c>
      <c r="I378" s="6" t="s">
        <v>25</v>
      </c>
      <c r="J378" s="6"/>
      <c r="K378" s="6" t="s">
        <v>194</v>
      </c>
      <c r="L378" s="6" t="s">
        <v>195</v>
      </c>
      <c r="M378" s="10">
        <v>1544.4267201128762</v>
      </c>
      <c r="N378" s="10">
        <v>1544.4267201128762</v>
      </c>
      <c r="O378" s="10">
        <v>1544.4267201128762</v>
      </c>
      <c r="P378" s="10">
        <v>1544.4267201128762</v>
      </c>
      <c r="Q378" s="10">
        <v>1544.4267201128762</v>
      </c>
      <c r="R378" s="10">
        <v>1544.4267201128762</v>
      </c>
      <c r="S378" s="10">
        <v>1544.4267201128762</v>
      </c>
      <c r="T378" s="10">
        <v>1544.4267201128762</v>
      </c>
      <c r="U378" s="10">
        <v>1544.4267201128762</v>
      </c>
      <c r="V378" s="10">
        <v>1544.4267201128762</v>
      </c>
      <c r="W378" s="10">
        <v>1544.4267201128762</v>
      </c>
      <c r="X378" s="10">
        <v>1544.4267201128762</v>
      </c>
      <c r="Y378" s="10">
        <v>1389.9840481015879</v>
      </c>
      <c r="Z378" s="10">
        <v>1389.9840481015879</v>
      </c>
      <c r="AA378" s="10">
        <v>1389.9840481015879</v>
      </c>
      <c r="AB378" s="10">
        <v>128.702226676073</v>
      </c>
      <c r="AC378" s="10">
        <v>128.702226676073</v>
      </c>
      <c r="AD378" s="10">
        <v>128.702226676073</v>
      </c>
      <c r="AE378" s="10">
        <v>128.702226676073</v>
      </c>
      <c r="AF378" s="10">
        <v>128.702226676073</v>
      </c>
      <c r="AG378" s="10">
        <v>128.702226676073</v>
      </c>
      <c r="AH378" s="10">
        <v>128.702226676073</v>
      </c>
      <c r="AI378" s="10">
        <v>128.702226676073</v>
      </c>
      <c r="AJ378" s="10">
        <v>128.702226676073</v>
      </c>
      <c r="AK378" s="10">
        <v>18533.120641354508</v>
      </c>
      <c r="AL378" s="10">
        <v>5328.2721843894224</v>
      </c>
      <c r="AM378" s="10">
        <v>16679.808577219053</v>
      </c>
      <c r="AN378" s="10">
        <v>16679.808577219053</v>
      </c>
      <c r="AO378" s="10">
        <v>16679.808577219053</v>
      </c>
      <c r="AP378" s="16">
        <f t="shared" si="6"/>
        <v>73900.818557401086</v>
      </c>
    </row>
    <row r="379" spans="1:42" x14ac:dyDescent="0.25">
      <c r="A379" s="6" t="s">
        <v>34</v>
      </c>
      <c r="B379" s="6" t="s">
        <v>18</v>
      </c>
      <c r="C379" s="6" t="s">
        <v>19</v>
      </c>
      <c r="D379" s="7" t="s">
        <v>20</v>
      </c>
      <c r="E379" s="7" t="s">
        <v>21</v>
      </c>
      <c r="F379" s="7" t="s">
        <v>22</v>
      </c>
      <c r="G379" s="7" t="s">
        <v>23</v>
      </c>
      <c r="H379" s="7" t="s">
        <v>35</v>
      </c>
      <c r="I379" s="6" t="s">
        <v>25</v>
      </c>
      <c r="J379" s="6"/>
      <c r="K379" s="6" t="s">
        <v>194</v>
      </c>
      <c r="L379" s="6" t="s">
        <v>195</v>
      </c>
      <c r="M379" s="10">
        <v>9487.2506188281823</v>
      </c>
      <c r="N379" s="10">
        <v>9487.2506188281823</v>
      </c>
      <c r="O379" s="10">
        <v>9487.2506188281823</v>
      </c>
      <c r="P379" s="10">
        <v>9487.2506188281823</v>
      </c>
      <c r="Q379" s="10">
        <v>9487.2506188281823</v>
      </c>
      <c r="R379" s="10">
        <v>9487.2506188281823</v>
      </c>
      <c r="S379" s="10">
        <v>9487.2506188281823</v>
      </c>
      <c r="T379" s="10">
        <v>9487.2506188281823</v>
      </c>
      <c r="U379" s="10">
        <v>9487.2506188281823</v>
      </c>
      <c r="V379" s="10">
        <v>9487.2506188281823</v>
      </c>
      <c r="W379" s="10">
        <v>9487.2506188281823</v>
      </c>
      <c r="X379" s="10">
        <v>9487.2506188281823</v>
      </c>
      <c r="Y379" s="10">
        <v>8538.5255569453657</v>
      </c>
      <c r="Z379" s="10">
        <v>8538.5255569453657</v>
      </c>
      <c r="AA379" s="10">
        <v>8538.5255569453657</v>
      </c>
      <c r="AB379" s="10">
        <v>790.60421823568186</v>
      </c>
      <c r="AC379" s="10">
        <v>790.60421823568186</v>
      </c>
      <c r="AD379" s="10">
        <v>790.60421823568186</v>
      </c>
      <c r="AE379" s="10">
        <v>790.60421823568186</v>
      </c>
      <c r="AF379" s="10">
        <v>790.60421823568186</v>
      </c>
      <c r="AG379" s="10">
        <v>790.60421823568186</v>
      </c>
      <c r="AH379" s="10">
        <v>790.60421823568186</v>
      </c>
      <c r="AI379" s="10">
        <v>790.60421823568186</v>
      </c>
      <c r="AJ379" s="10">
        <v>790.60421823568186</v>
      </c>
      <c r="AK379" s="10">
        <v>113847.00742593817</v>
      </c>
      <c r="AL379" s="10">
        <v>32731.014634957231</v>
      </c>
      <c r="AM379" s="10">
        <v>102462.30668334439</v>
      </c>
      <c r="AN379" s="10">
        <v>102462.30668334439</v>
      </c>
      <c r="AO379" s="10">
        <v>102462.30668334439</v>
      </c>
      <c r="AP379" s="16">
        <f t="shared" si="6"/>
        <v>453964.94211092859</v>
      </c>
    </row>
    <row r="380" spans="1:42" x14ac:dyDescent="0.25">
      <c r="A380" s="6" t="s">
        <v>17</v>
      </c>
      <c r="B380" s="6" t="s">
        <v>18</v>
      </c>
      <c r="C380" s="6" t="s">
        <v>19</v>
      </c>
      <c r="D380" s="7" t="s">
        <v>20</v>
      </c>
      <c r="E380" s="7" t="s">
        <v>21</v>
      </c>
      <c r="F380" s="7" t="s">
        <v>22</v>
      </c>
      <c r="G380" s="7" t="s">
        <v>23</v>
      </c>
      <c r="H380" s="7" t="s">
        <v>24</v>
      </c>
      <c r="I380" s="6" t="s">
        <v>87</v>
      </c>
      <c r="J380" s="6"/>
      <c r="K380" s="6" t="s">
        <v>196</v>
      </c>
      <c r="L380" s="6" t="s">
        <v>197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0">
        <v>0</v>
      </c>
      <c r="AM380" s="10">
        <v>1628.9382688022899</v>
      </c>
      <c r="AN380" s="10">
        <v>0</v>
      </c>
      <c r="AO380" s="10">
        <v>0</v>
      </c>
      <c r="AP380" s="16">
        <f t="shared" si="6"/>
        <v>1628.9382688022899</v>
      </c>
    </row>
    <row r="381" spans="1:42" x14ac:dyDescent="0.25">
      <c r="A381" s="6" t="s">
        <v>28</v>
      </c>
      <c r="B381" s="6" t="s">
        <v>18</v>
      </c>
      <c r="C381" s="6" t="s">
        <v>19</v>
      </c>
      <c r="D381" s="7" t="s">
        <v>20</v>
      </c>
      <c r="E381" s="7" t="s">
        <v>21</v>
      </c>
      <c r="F381" s="7" t="s">
        <v>22</v>
      </c>
      <c r="G381" s="7" t="s">
        <v>23</v>
      </c>
      <c r="H381" s="7" t="s">
        <v>29</v>
      </c>
      <c r="I381" s="6" t="s">
        <v>87</v>
      </c>
      <c r="J381" s="6"/>
      <c r="K381" s="6" t="s">
        <v>196</v>
      </c>
      <c r="L381" s="6" t="s">
        <v>197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  <c r="AI381" s="10">
        <v>0</v>
      </c>
      <c r="AJ381" s="10">
        <v>0</v>
      </c>
      <c r="AK381" s="10">
        <v>0</v>
      </c>
      <c r="AL381" s="10">
        <v>0</v>
      </c>
      <c r="AM381" s="10">
        <v>542891.53065098939</v>
      </c>
      <c r="AN381" s="10">
        <v>0</v>
      </c>
      <c r="AO381" s="10">
        <v>0</v>
      </c>
      <c r="AP381" s="16">
        <f t="shared" si="6"/>
        <v>542891.53065098939</v>
      </c>
    </row>
    <row r="382" spans="1:42" x14ac:dyDescent="0.25">
      <c r="A382" s="6" t="s">
        <v>30</v>
      </c>
      <c r="B382" s="6" t="s">
        <v>18</v>
      </c>
      <c r="C382" s="6" t="s">
        <v>19</v>
      </c>
      <c r="D382" s="7" t="s">
        <v>20</v>
      </c>
      <c r="E382" s="7" t="s">
        <v>21</v>
      </c>
      <c r="F382" s="7" t="s">
        <v>22</v>
      </c>
      <c r="G382" s="7" t="s">
        <v>23</v>
      </c>
      <c r="H382" s="7" t="s">
        <v>31</v>
      </c>
      <c r="I382" s="6" t="s">
        <v>87</v>
      </c>
      <c r="J382" s="6"/>
      <c r="K382" s="6" t="s">
        <v>196</v>
      </c>
      <c r="L382" s="6" t="s">
        <v>197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  <c r="AI382" s="10">
        <v>0</v>
      </c>
      <c r="AJ382" s="10">
        <v>0</v>
      </c>
      <c r="AK382" s="10">
        <v>0</v>
      </c>
      <c r="AL382" s="10">
        <v>0</v>
      </c>
      <c r="AM382" s="10">
        <v>204679.93817886064</v>
      </c>
      <c r="AN382" s="10">
        <v>0</v>
      </c>
      <c r="AO382" s="10">
        <v>0</v>
      </c>
      <c r="AP382" s="16">
        <f t="shared" si="6"/>
        <v>204679.93817886064</v>
      </c>
    </row>
    <row r="383" spans="1:42" x14ac:dyDescent="0.25">
      <c r="A383" s="6" t="s">
        <v>32</v>
      </c>
      <c r="B383" s="6" t="s">
        <v>18</v>
      </c>
      <c r="C383" s="6" t="s">
        <v>19</v>
      </c>
      <c r="D383" s="7" t="s">
        <v>20</v>
      </c>
      <c r="E383" s="7" t="s">
        <v>21</v>
      </c>
      <c r="F383" s="7" t="s">
        <v>22</v>
      </c>
      <c r="G383" s="7" t="s">
        <v>23</v>
      </c>
      <c r="H383" s="7" t="s">
        <v>33</v>
      </c>
      <c r="I383" s="6" t="s">
        <v>87</v>
      </c>
      <c r="J383" s="6"/>
      <c r="K383" s="6" t="s">
        <v>196</v>
      </c>
      <c r="L383" s="6" t="s">
        <v>197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52901.457513494228</v>
      </c>
      <c r="AN383" s="10">
        <v>0</v>
      </c>
      <c r="AO383" s="10">
        <v>0</v>
      </c>
      <c r="AP383" s="16">
        <f t="shared" si="6"/>
        <v>52901.457513494228</v>
      </c>
    </row>
    <row r="384" spans="1:42" x14ac:dyDescent="0.25">
      <c r="A384" s="6" t="s">
        <v>34</v>
      </c>
      <c r="B384" s="6" t="s">
        <v>18</v>
      </c>
      <c r="C384" s="6" t="s">
        <v>19</v>
      </c>
      <c r="D384" s="7" t="s">
        <v>20</v>
      </c>
      <c r="E384" s="7" t="s">
        <v>21</v>
      </c>
      <c r="F384" s="7" t="s">
        <v>22</v>
      </c>
      <c r="G384" s="7" t="s">
        <v>23</v>
      </c>
      <c r="H384" s="7" t="s">
        <v>35</v>
      </c>
      <c r="I384" s="6" t="s">
        <v>87</v>
      </c>
      <c r="J384" s="6"/>
      <c r="K384" s="6" t="s">
        <v>196</v>
      </c>
      <c r="L384" s="6" t="s">
        <v>197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0">
        <v>0</v>
      </c>
      <c r="AM384" s="10">
        <v>416157.28164289531</v>
      </c>
      <c r="AN384" s="10">
        <v>0</v>
      </c>
      <c r="AO384" s="10">
        <v>0</v>
      </c>
      <c r="AP384" s="16">
        <f t="shared" si="6"/>
        <v>416157.28164289531</v>
      </c>
    </row>
    <row r="385" spans="1:42" x14ac:dyDescent="0.25">
      <c r="A385" s="6" t="s">
        <v>38</v>
      </c>
      <c r="B385" s="6" t="s">
        <v>18</v>
      </c>
      <c r="C385" s="6" t="s">
        <v>19</v>
      </c>
      <c r="D385" s="7" t="s">
        <v>20</v>
      </c>
      <c r="E385" s="7" t="s">
        <v>21</v>
      </c>
      <c r="F385" s="7" t="s">
        <v>22</v>
      </c>
      <c r="G385" s="7" t="s">
        <v>23</v>
      </c>
      <c r="H385" s="7" t="s">
        <v>39</v>
      </c>
      <c r="I385" s="6" t="s">
        <v>87</v>
      </c>
      <c r="J385" s="6"/>
      <c r="K385" s="6" t="s">
        <v>196</v>
      </c>
      <c r="L385" s="6" t="s">
        <v>197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0">
        <v>0</v>
      </c>
      <c r="AM385" s="10">
        <v>277410.76291183615</v>
      </c>
      <c r="AN385" s="10">
        <v>0</v>
      </c>
      <c r="AO385" s="10">
        <v>0</v>
      </c>
      <c r="AP385" s="16">
        <f t="shared" si="6"/>
        <v>277410.76291183615</v>
      </c>
    </row>
    <row r="386" spans="1:42" x14ac:dyDescent="0.25">
      <c r="A386" s="6" t="s">
        <v>42</v>
      </c>
      <c r="B386" s="6" t="s">
        <v>18</v>
      </c>
      <c r="C386" s="6" t="s">
        <v>19</v>
      </c>
      <c r="D386" s="7" t="s">
        <v>20</v>
      </c>
      <c r="E386" s="7" t="s">
        <v>21</v>
      </c>
      <c r="F386" s="7" t="s">
        <v>22</v>
      </c>
      <c r="G386" s="7" t="s">
        <v>23</v>
      </c>
      <c r="H386" s="7" t="s">
        <v>43</v>
      </c>
      <c r="I386" s="6" t="s">
        <v>87</v>
      </c>
      <c r="J386" s="6"/>
      <c r="K386" s="6" t="s">
        <v>196</v>
      </c>
      <c r="L386" s="6" t="s">
        <v>197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  <c r="AI386" s="10">
        <v>0</v>
      </c>
      <c r="AJ386" s="10">
        <v>0</v>
      </c>
      <c r="AK386" s="10">
        <v>0</v>
      </c>
      <c r="AL386" s="10">
        <v>0</v>
      </c>
      <c r="AM386" s="10">
        <v>110561.51004377834</v>
      </c>
      <c r="AN386" s="10">
        <v>0</v>
      </c>
      <c r="AO386" s="10">
        <v>0</v>
      </c>
      <c r="AP386" s="16">
        <f t="shared" si="6"/>
        <v>110561.51004377834</v>
      </c>
    </row>
    <row r="387" spans="1:42" x14ac:dyDescent="0.25">
      <c r="A387" s="6" t="s">
        <v>28</v>
      </c>
      <c r="B387" s="6" t="s">
        <v>18</v>
      </c>
      <c r="C387" s="6" t="s">
        <v>19</v>
      </c>
      <c r="D387" s="7" t="s">
        <v>20</v>
      </c>
      <c r="E387" s="7" t="s">
        <v>21</v>
      </c>
      <c r="F387" s="7" t="s">
        <v>22</v>
      </c>
      <c r="G387" s="7" t="s">
        <v>23</v>
      </c>
      <c r="H387" s="7" t="s">
        <v>29</v>
      </c>
      <c r="I387" s="6" t="s">
        <v>25</v>
      </c>
      <c r="J387" s="6"/>
      <c r="K387" s="6" t="s">
        <v>198</v>
      </c>
      <c r="L387" s="6" t="s">
        <v>199</v>
      </c>
      <c r="M387" s="10">
        <v>28665.117720495269</v>
      </c>
      <c r="N387" s="10">
        <v>28665.117720495269</v>
      </c>
      <c r="O387" s="10">
        <v>28665.117720495269</v>
      </c>
      <c r="P387" s="10">
        <v>28665.117720495269</v>
      </c>
      <c r="Q387" s="10">
        <v>28665.117720495269</v>
      </c>
      <c r="R387" s="10">
        <v>28665.117720495269</v>
      </c>
      <c r="S387" s="10">
        <v>28665.117720495269</v>
      </c>
      <c r="T387" s="10">
        <v>28665.117720495269</v>
      </c>
      <c r="U387" s="10">
        <v>28665.117720495269</v>
      </c>
      <c r="V387" s="10">
        <v>28665.117720495269</v>
      </c>
      <c r="W387" s="10">
        <v>28665.117720495269</v>
      </c>
      <c r="X387" s="10">
        <v>28665.117720495269</v>
      </c>
      <c r="Y387" s="10">
        <v>25769.38359782338</v>
      </c>
      <c r="Z387" s="10">
        <v>25769.38359782338</v>
      </c>
      <c r="AA387" s="10">
        <v>25769.38359782338</v>
      </c>
      <c r="AB387" s="10">
        <v>2388.7598100412724</v>
      </c>
      <c r="AC387" s="10">
        <v>2388.7598100412724</v>
      </c>
      <c r="AD387" s="10">
        <v>2388.7598100412724</v>
      </c>
      <c r="AE387" s="10">
        <v>2388.7598100412724</v>
      </c>
      <c r="AF387" s="10">
        <v>2388.7598100412724</v>
      </c>
      <c r="AG387" s="10">
        <v>2388.7598100412724</v>
      </c>
      <c r="AH387" s="10">
        <v>2388.7598100412724</v>
      </c>
      <c r="AI387" s="10">
        <v>2388.7598100412724</v>
      </c>
      <c r="AJ387" s="10">
        <v>2388.7598100412724</v>
      </c>
      <c r="AK387" s="10">
        <v>343981.41264594323</v>
      </c>
      <c r="AL387" s="10">
        <v>98806.989083841632</v>
      </c>
      <c r="AM387" s="10">
        <v>309232.60317388061</v>
      </c>
      <c r="AN387" s="10">
        <v>309232.60317388061</v>
      </c>
      <c r="AO387" s="10">
        <v>309232.60317388061</v>
      </c>
      <c r="AP387" s="16">
        <f t="shared" si="6"/>
        <v>1370486.2112514267</v>
      </c>
    </row>
    <row r="388" spans="1:42" x14ac:dyDescent="0.25">
      <c r="A388" s="6" t="s">
        <v>30</v>
      </c>
      <c r="B388" s="6" t="s">
        <v>18</v>
      </c>
      <c r="C388" s="6" t="s">
        <v>19</v>
      </c>
      <c r="D388" s="7" t="s">
        <v>20</v>
      </c>
      <c r="E388" s="7" t="s">
        <v>21</v>
      </c>
      <c r="F388" s="7" t="s">
        <v>22</v>
      </c>
      <c r="G388" s="7" t="s">
        <v>23</v>
      </c>
      <c r="H388" s="7" t="s">
        <v>31</v>
      </c>
      <c r="I388" s="6" t="s">
        <v>25</v>
      </c>
      <c r="J388" s="6"/>
      <c r="K388" s="6" t="s">
        <v>198</v>
      </c>
      <c r="L388" s="6" t="s">
        <v>199</v>
      </c>
      <c r="M388" s="10">
        <v>11245.615589825704</v>
      </c>
      <c r="N388" s="10">
        <v>11245.615589825704</v>
      </c>
      <c r="O388" s="10">
        <v>11245.615589825704</v>
      </c>
      <c r="P388" s="10">
        <v>11245.615589825704</v>
      </c>
      <c r="Q388" s="10">
        <v>11245.615589825704</v>
      </c>
      <c r="R388" s="10">
        <v>11245.615589825704</v>
      </c>
      <c r="S388" s="10">
        <v>11245.615589825704</v>
      </c>
      <c r="T388" s="10">
        <v>11245.615589825704</v>
      </c>
      <c r="U388" s="10">
        <v>11245.615589825704</v>
      </c>
      <c r="V388" s="10">
        <v>11245.615589825704</v>
      </c>
      <c r="W388" s="10">
        <v>11245.615589825704</v>
      </c>
      <c r="X388" s="10">
        <v>11245.615589825704</v>
      </c>
      <c r="Y388" s="10">
        <v>10090.729263213625</v>
      </c>
      <c r="Z388" s="10">
        <v>10090.729263213625</v>
      </c>
      <c r="AA388" s="10">
        <v>10090.729263213625</v>
      </c>
      <c r="AB388" s="10">
        <v>937.13463248547544</v>
      </c>
      <c r="AC388" s="10">
        <v>937.13463248547544</v>
      </c>
      <c r="AD388" s="10">
        <v>937.13463248547544</v>
      </c>
      <c r="AE388" s="10">
        <v>937.13463248547544</v>
      </c>
      <c r="AF388" s="10">
        <v>937.13463248547544</v>
      </c>
      <c r="AG388" s="10">
        <v>937.13463248547544</v>
      </c>
      <c r="AH388" s="10">
        <v>937.13463248547544</v>
      </c>
      <c r="AI388" s="10">
        <v>937.13463248547544</v>
      </c>
      <c r="AJ388" s="10">
        <v>937.13463248547544</v>
      </c>
      <c r="AK388" s="10">
        <v>134947.38707790841</v>
      </c>
      <c r="AL388" s="10">
        <v>38706.399482010173</v>
      </c>
      <c r="AM388" s="10">
        <v>121088.75115856349</v>
      </c>
      <c r="AN388" s="10">
        <v>121088.75115856349</v>
      </c>
      <c r="AO388" s="10">
        <v>121088.75115856349</v>
      </c>
      <c r="AP388" s="16">
        <f t="shared" si="6"/>
        <v>536920.04003560904</v>
      </c>
    </row>
    <row r="389" spans="1:42" x14ac:dyDescent="0.25">
      <c r="A389" s="6" t="s">
        <v>32</v>
      </c>
      <c r="B389" s="6" t="s">
        <v>18</v>
      </c>
      <c r="C389" s="6" t="s">
        <v>19</v>
      </c>
      <c r="D389" s="7" t="s">
        <v>20</v>
      </c>
      <c r="E389" s="7" t="s">
        <v>21</v>
      </c>
      <c r="F389" s="7" t="s">
        <v>22</v>
      </c>
      <c r="G389" s="7" t="s">
        <v>23</v>
      </c>
      <c r="H389" s="7" t="s">
        <v>33</v>
      </c>
      <c r="I389" s="6" t="s">
        <v>25</v>
      </c>
      <c r="J389" s="6"/>
      <c r="K389" s="6" t="s">
        <v>198</v>
      </c>
      <c r="L389" s="6" t="s">
        <v>199</v>
      </c>
      <c r="M389" s="10">
        <v>2919.6214647484267</v>
      </c>
      <c r="N389" s="10">
        <v>2919.6214647484267</v>
      </c>
      <c r="O389" s="10">
        <v>2919.6214647484267</v>
      </c>
      <c r="P389" s="10">
        <v>2919.6214647484267</v>
      </c>
      <c r="Q389" s="10">
        <v>2919.6214647484267</v>
      </c>
      <c r="R389" s="10">
        <v>2919.6214647484267</v>
      </c>
      <c r="S389" s="10">
        <v>2919.6214647484267</v>
      </c>
      <c r="T389" s="10">
        <v>2919.6214647484267</v>
      </c>
      <c r="U389" s="10">
        <v>2919.6214647484267</v>
      </c>
      <c r="V389" s="10">
        <v>2919.6214647484267</v>
      </c>
      <c r="W389" s="10">
        <v>2919.6214647484267</v>
      </c>
      <c r="X389" s="10">
        <v>2919.6214647484267</v>
      </c>
      <c r="Y389" s="10">
        <v>2627.5221949447646</v>
      </c>
      <c r="Z389" s="10">
        <v>2627.5221949447646</v>
      </c>
      <c r="AA389" s="10">
        <v>2627.5221949447646</v>
      </c>
      <c r="AB389" s="10">
        <v>243.30178872903556</v>
      </c>
      <c r="AC389" s="10">
        <v>243.30178872903556</v>
      </c>
      <c r="AD389" s="10">
        <v>243.30178872903556</v>
      </c>
      <c r="AE389" s="10">
        <v>243.30178872903556</v>
      </c>
      <c r="AF389" s="10">
        <v>243.30178872903556</v>
      </c>
      <c r="AG389" s="10">
        <v>243.30178872903556</v>
      </c>
      <c r="AH389" s="10">
        <v>243.30178872903556</v>
      </c>
      <c r="AI389" s="10">
        <v>243.30178872903556</v>
      </c>
      <c r="AJ389" s="10">
        <v>243.30178872903556</v>
      </c>
      <c r="AK389" s="10">
        <v>35035.45757698112</v>
      </c>
      <c r="AL389" s="10">
        <v>10072.282683395617</v>
      </c>
      <c r="AM389" s="10">
        <v>31530.266339337169</v>
      </c>
      <c r="AN389" s="10">
        <v>31530.266339337169</v>
      </c>
      <c r="AO389" s="10">
        <v>31530.266339337169</v>
      </c>
      <c r="AP389" s="16">
        <f t="shared" ref="AP389:AP452" si="7">SUM(AK389:AO389)</f>
        <v>139698.53927838823</v>
      </c>
    </row>
    <row r="390" spans="1:42" x14ac:dyDescent="0.25">
      <c r="A390" s="6" t="s">
        <v>34</v>
      </c>
      <c r="B390" s="6" t="s">
        <v>18</v>
      </c>
      <c r="C390" s="6" t="s">
        <v>19</v>
      </c>
      <c r="D390" s="7" t="s">
        <v>20</v>
      </c>
      <c r="E390" s="7" t="s">
        <v>21</v>
      </c>
      <c r="F390" s="7" t="s">
        <v>22</v>
      </c>
      <c r="G390" s="7" t="s">
        <v>23</v>
      </c>
      <c r="H390" s="7" t="s">
        <v>35</v>
      </c>
      <c r="I390" s="6" t="s">
        <v>25</v>
      </c>
      <c r="J390" s="6"/>
      <c r="K390" s="6" t="s">
        <v>198</v>
      </c>
      <c r="L390" s="6" t="s">
        <v>199</v>
      </c>
      <c r="M390" s="10">
        <v>17934.927042802101</v>
      </c>
      <c r="N390" s="10">
        <v>17934.927042802101</v>
      </c>
      <c r="O390" s="10">
        <v>17934.927042802101</v>
      </c>
      <c r="P390" s="10">
        <v>17934.927042802101</v>
      </c>
      <c r="Q390" s="10">
        <v>17934.927042802101</v>
      </c>
      <c r="R390" s="10">
        <v>17934.927042802101</v>
      </c>
      <c r="S390" s="10">
        <v>17934.927042802101</v>
      </c>
      <c r="T390" s="10">
        <v>17934.927042802101</v>
      </c>
      <c r="U390" s="10">
        <v>17934.927042802101</v>
      </c>
      <c r="V390" s="10">
        <v>17934.927042802101</v>
      </c>
      <c r="W390" s="10">
        <v>17934.927042802101</v>
      </c>
      <c r="X390" s="10">
        <v>17934.927042802101</v>
      </c>
      <c r="Y390" s="10">
        <v>32282.868677043782</v>
      </c>
      <c r="Z390" s="10">
        <v>64565.737354087563</v>
      </c>
      <c r="AA390" s="10">
        <v>129131.47470817513</v>
      </c>
      <c r="AB390" s="10">
        <v>1494.5772535668418</v>
      </c>
      <c r="AC390" s="10">
        <v>1494.5772535668418</v>
      </c>
      <c r="AD390" s="10">
        <v>1494.5772535668418</v>
      </c>
      <c r="AE390" s="10">
        <v>1494.5772535668418</v>
      </c>
      <c r="AF390" s="10">
        <v>1494.5772535668418</v>
      </c>
      <c r="AG390" s="10">
        <v>1494.5772535668418</v>
      </c>
      <c r="AH390" s="10">
        <v>1494.5772535668418</v>
      </c>
      <c r="AI390" s="10">
        <v>1494.5772535668418</v>
      </c>
      <c r="AJ390" s="10">
        <v>1494.5772535668418</v>
      </c>
      <c r="AK390" s="10">
        <v>215219.12451362523</v>
      </c>
      <c r="AL390" s="10">
        <v>239431.27602140809</v>
      </c>
      <c r="AM390" s="10">
        <v>1549577.6964981016</v>
      </c>
      <c r="AN390" s="10">
        <v>1549577.6964981016</v>
      </c>
      <c r="AO390" s="10">
        <v>1549577.6964981016</v>
      </c>
      <c r="AP390" s="16">
        <f t="shared" si="7"/>
        <v>5103383.4900293378</v>
      </c>
    </row>
    <row r="391" spans="1:42" x14ac:dyDescent="0.25">
      <c r="A391" s="6" t="s">
        <v>28</v>
      </c>
      <c r="B391" s="6" t="s">
        <v>18</v>
      </c>
      <c r="C391" s="6" t="s">
        <v>62</v>
      </c>
      <c r="D391" s="7" t="s">
        <v>63</v>
      </c>
      <c r="E391" s="7" t="s">
        <v>21</v>
      </c>
      <c r="F391" s="7" t="s">
        <v>64</v>
      </c>
      <c r="G391" s="7" t="s">
        <v>23</v>
      </c>
      <c r="H391" s="7" t="s">
        <v>65</v>
      </c>
      <c r="I391" s="6" t="s">
        <v>129</v>
      </c>
      <c r="J391" s="6"/>
      <c r="K391" s="6" t="s">
        <v>200</v>
      </c>
      <c r="L391" s="6" t="s">
        <v>201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64311.885629834695</v>
      </c>
      <c r="V391" s="10">
        <v>0</v>
      </c>
      <c r="W391" s="10">
        <v>0</v>
      </c>
      <c r="X391" s="10">
        <v>160779.71407458675</v>
      </c>
      <c r="Y391" s="10">
        <v>0</v>
      </c>
      <c r="Z391" s="10">
        <v>0</v>
      </c>
      <c r="AA391" s="10">
        <v>0</v>
      </c>
      <c r="AB391" s="10">
        <v>289403.48533425614</v>
      </c>
      <c r="AC391" s="10">
        <v>0</v>
      </c>
      <c r="AD391" s="10">
        <v>0</v>
      </c>
      <c r="AE391" s="10">
        <v>128623.77125966939</v>
      </c>
      <c r="AF391" s="10">
        <v>0</v>
      </c>
      <c r="AG391" s="10">
        <v>0</v>
      </c>
      <c r="AH391" s="10">
        <v>0</v>
      </c>
      <c r="AI391" s="10">
        <v>0</v>
      </c>
      <c r="AJ391" s="10">
        <v>0</v>
      </c>
      <c r="AK391" s="10">
        <v>225091.59970442145</v>
      </c>
      <c r="AL391" s="10">
        <v>418027.25659392553</v>
      </c>
      <c r="AM391" s="10">
        <v>0</v>
      </c>
      <c r="AN391" s="10">
        <v>0</v>
      </c>
      <c r="AO391" s="10">
        <v>0</v>
      </c>
      <c r="AP391" s="16">
        <f t="shared" si="7"/>
        <v>643118.856298347</v>
      </c>
    </row>
    <row r="392" spans="1:42" x14ac:dyDescent="0.25">
      <c r="A392" s="6" t="s">
        <v>30</v>
      </c>
      <c r="B392" s="6" t="s">
        <v>18</v>
      </c>
      <c r="C392" s="6" t="s">
        <v>62</v>
      </c>
      <c r="D392" s="7" t="s">
        <v>63</v>
      </c>
      <c r="E392" s="7" t="s">
        <v>21</v>
      </c>
      <c r="F392" s="7" t="s">
        <v>64</v>
      </c>
      <c r="G392" s="7" t="s">
        <v>23</v>
      </c>
      <c r="H392" s="7" t="s">
        <v>69</v>
      </c>
      <c r="I392" s="6" t="s">
        <v>129</v>
      </c>
      <c r="J392" s="6"/>
      <c r="K392" s="6" t="s">
        <v>200</v>
      </c>
      <c r="L392" s="6" t="s">
        <v>201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25075.609423140249</v>
      </c>
      <c r="V392" s="10">
        <v>0</v>
      </c>
      <c r="W392" s="10">
        <v>0</v>
      </c>
      <c r="X392" s="10">
        <v>62689.023557850625</v>
      </c>
      <c r="Y392" s="10">
        <v>0</v>
      </c>
      <c r="Z392" s="10">
        <v>0</v>
      </c>
      <c r="AA392" s="10">
        <v>0</v>
      </c>
      <c r="AB392" s="10">
        <v>112840.24240413113</v>
      </c>
      <c r="AC392" s="10">
        <v>0</v>
      </c>
      <c r="AD392" s="10">
        <v>0</v>
      </c>
      <c r="AE392" s="10">
        <v>50151.218846280499</v>
      </c>
      <c r="AF392" s="10">
        <v>0</v>
      </c>
      <c r="AG392" s="10">
        <v>0</v>
      </c>
      <c r="AH392" s="10">
        <v>0</v>
      </c>
      <c r="AI392" s="10">
        <v>0</v>
      </c>
      <c r="AJ392" s="10">
        <v>0</v>
      </c>
      <c r="AK392" s="10">
        <v>87764.632980990864</v>
      </c>
      <c r="AL392" s="10">
        <v>162991.46125041164</v>
      </c>
      <c r="AM392" s="10">
        <v>0</v>
      </c>
      <c r="AN392" s="10">
        <v>0</v>
      </c>
      <c r="AO392" s="10">
        <v>0</v>
      </c>
      <c r="AP392" s="16">
        <f t="shared" si="7"/>
        <v>250756.0942314025</v>
      </c>
    </row>
    <row r="393" spans="1:42" x14ac:dyDescent="0.25">
      <c r="A393" s="6" t="s">
        <v>32</v>
      </c>
      <c r="B393" s="6" t="s">
        <v>18</v>
      </c>
      <c r="C393" s="6" t="s">
        <v>62</v>
      </c>
      <c r="D393" s="7" t="s">
        <v>63</v>
      </c>
      <c r="E393" s="7" t="s">
        <v>21</v>
      </c>
      <c r="F393" s="7" t="s">
        <v>64</v>
      </c>
      <c r="G393" s="7" t="s">
        <v>23</v>
      </c>
      <c r="H393" s="7" t="s">
        <v>70</v>
      </c>
      <c r="I393" s="6" t="s">
        <v>129</v>
      </c>
      <c r="J393" s="6"/>
      <c r="K393" s="6" t="s">
        <v>200</v>
      </c>
      <c r="L393" s="6" t="s">
        <v>201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6601.0068624416172</v>
      </c>
      <c r="V393" s="10">
        <v>0</v>
      </c>
      <c r="W393" s="10">
        <v>0</v>
      </c>
      <c r="X393" s="10">
        <v>16502.517156104041</v>
      </c>
      <c r="Y393" s="10">
        <v>0</v>
      </c>
      <c r="Z393" s="10">
        <v>0</v>
      </c>
      <c r="AA393" s="10">
        <v>0</v>
      </c>
      <c r="AB393" s="10">
        <v>29704.530880987277</v>
      </c>
      <c r="AC393" s="10">
        <v>0</v>
      </c>
      <c r="AD393" s="10">
        <v>0</v>
      </c>
      <c r="AE393" s="10">
        <v>13202.013724883234</v>
      </c>
      <c r="AF393" s="10">
        <v>0</v>
      </c>
      <c r="AG393" s="10">
        <v>0</v>
      </c>
      <c r="AH393" s="10">
        <v>0</v>
      </c>
      <c r="AI393" s="10">
        <v>0</v>
      </c>
      <c r="AJ393" s="10">
        <v>0</v>
      </c>
      <c r="AK393" s="10">
        <v>23103.524018545657</v>
      </c>
      <c r="AL393" s="10">
        <v>42906.544605870506</v>
      </c>
      <c r="AM393" s="10">
        <v>0</v>
      </c>
      <c r="AN393" s="10">
        <v>0</v>
      </c>
      <c r="AO393" s="10">
        <v>0</v>
      </c>
      <c r="AP393" s="16">
        <f t="shared" si="7"/>
        <v>66010.068624416162</v>
      </c>
    </row>
    <row r="394" spans="1:42" x14ac:dyDescent="0.25">
      <c r="A394" s="6" t="s">
        <v>34</v>
      </c>
      <c r="B394" s="6" t="s">
        <v>18</v>
      </c>
      <c r="C394" s="6" t="s">
        <v>62</v>
      </c>
      <c r="D394" s="7" t="s">
        <v>63</v>
      </c>
      <c r="E394" s="7" t="s">
        <v>21</v>
      </c>
      <c r="F394" s="7" t="s">
        <v>64</v>
      </c>
      <c r="G394" s="7" t="s">
        <v>23</v>
      </c>
      <c r="H394" s="7" t="s">
        <v>71</v>
      </c>
      <c r="I394" s="6" t="s">
        <v>129</v>
      </c>
      <c r="J394" s="6"/>
      <c r="K394" s="6" t="s">
        <v>200</v>
      </c>
      <c r="L394" s="6" t="s">
        <v>201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40961.849442277242</v>
      </c>
      <c r="V394" s="10">
        <v>0</v>
      </c>
      <c r="W394" s="10">
        <v>0</v>
      </c>
      <c r="X394" s="10">
        <v>102404.62360569308</v>
      </c>
      <c r="Y394" s="10">
        <v>0</v>
      </c>
      <c r="Z394" s="10">
        <v>0</v>
      </c>
      <c r="AA394" s="10">
        <v>0</v>
      </c>
      <c r="AB394" s="10">
        <v>184328.32249024755</v>
      </c>
      <c r="AC394" s="10">
        <v>0</v>
      </c>
      <c r="AD394" s="10">
        <v>0</v>
      </c>
      <c r="AE394" s="10">
        <v>81923.698884554484</v>
      </c>
      <c r="AF394" s="10">
        <v>0</v>
      </c>
      <c r="AG394" s="10">
        <v>0</v>
      </c>
      <c r="AH394" s="10">
        <v>0</v>
      </c>
      <c r="AI394" s="10">
        <v>0</v>
      </c>
      <c r="AJ394" s="10">
        <v>0</v>
      </c>
      <c r="AK394" s="10">
        <v>143366.47304797033</v>
      </c>
      <c r="AL394" s="10">
        <v>266252.02137480199</v>
      </c>
      <c r="AM394" s="10">
        <v>0</v>
      </c>
      <c r="AN394" s="10">
        <v>0</v>
      </c>
      <c r="AO394" s="10">
        <v>0</v>
      </c>
      <c r="AP394" s="16">
        <f t="shared" si="7"/>
        <v>409618.49442277232</v>
      </c>
    </row>
    <row r="395" spans="1:42" x14ac:dyDescent="0.25">
      <c r="A395" s="6" t="s">
        <v>17</v>
      </c>
      <c r="B395" s="6" t="s">
        <v>18</v>
      </c>
      <c r="C395" s="6" t="s">
        <v>19</v>
      </c>
      <c r="D395" s="7" t="s">
        <v>20</v>
      </c>
      <c r="E395" s="7" t="s">
        <v>21</v>
      </c>
      <c r="F395" s="7" t="s">
        <v>22</v>
      </c>
      <c r="G395" s="7" t="s">
        <v>23</v>
      </c>
      <c r="H395" s="7" t="s">
        <v>24</v>
      </c>
      <c r="I395" s="6" t="s">
        <v>25</v>
      </c>
      <c r="J395" s="6"/>
      <c r="K395" s="6" t="s">
        <v>202</v>
      </c>
      <c r="L395" s="6" t="s">
        <v>203</v>
      </c>
      <c r="M395" s="10">
        <v>220.55030110855404</v>
      </c>
      <c r="N395" s="10">
        <v>220.55030110855404</v>
      </c>
      <c r="O395" s="10">
        <v>220.55030110855404</v>
      </c>
      <c r="P395" s="10">
        <v>220.55030110855404</v>
      </c>
      <c r="Q395" s="10">
        <v>220.55030110855404</v>
      </c>
      <c r="R395" s="10">
        <v>220.55030110855404</v>
      </c>
      <c r="S395" s="10">
        <v>220.55030110855404</v>
      </c>
      <c r="T395" s="10">
        <v>220.55030110855404</v>
      </c>
      <c r="U395" s="10">
        <v>220.55030110855404</v>
      </c>
      <c r="V395" s="10">
        <v>220.55030110855404</v>
      </c>
      <c r="W395" s="10">
        <v>220.55030110855404</v>
      </c>
      <c r="X395" s="10">
        <v>220.55030110855404</v>
      </c>
      <c r="Y395" s="10">
        <v>130.36146035730991</v>
      </c>
      <c r="Z395" s="10">
        <v>0</v>
      </c>
      <c r="AA395" s="10">
        <v>0</v>
      </c>
      <c r="AB395" s="10">
        <v>18.379191759046169</v>
      </c>
      <c r="AC395" s="10">
        <v>18.379191759046169</v>
      </c>
      <c r="AD395" s="10">
        <v>18.379191759046169</v>
      </c>
      <c r="AE395" s="10">
        <v>18.379191759046169</v>
      </c>
      <c r="AF395" s="10">
        <v>18.379191759046169</v>
      </c>
      <c r="AG395" s="10">
        <v>18.379191759046169</v>
      </c>
      <c r="AH395" s="10">
        <v>18.379191759046169</v>
      </c>
      <c r="AI395" s="10">
        <v>18.379191759046169</v>
      </c>
      <c r="AJ395" s="10">
        <v>18.379191759046169</v>
      </c>
      <c r="AK395" s="10">
        <v>2646.6036133026482</v>
      </c>
      <c r="AL395" s="10">
        <v>295.77418618872537</v>
      </c>
      <c r="AM395" s="10">
        <v>0</v>
      </c>
      <c r="AN395" s="10">
        <v>0</v>
      </c>
      <c r="AO395" s="10">
        <v>0</v>
      </c>
      <c r="AP395" s="16">
        <f t="shared" si="7"/>
        <v>2942.3777994913735</v>
      </c>
    </row>
    <row r="396" spans="1:42" x14ac:dyDescent="0.25">
      <c r="A396" s="6" t="s">
        <v>28</v>
      </c>
      <c r="B396" s="6" t="s">
        <v>18</v>
      </c>
      <c r="C396" s="6" t="s">
        <v>19</v>
      </c>
      <c r="D396" s="7" t="s">
        <v>20</v>
      </c>
      <c r="E396" s="7" t="s">
        <v>21</v>
      </c>
      <c r="F396" s="7" t="s">
        <v>22</v>
      </c>
      <c r="G396" s="7" t="s">
        <v>23</v>
      </c>
      <c r="H396" s="7" t="s">
        <v>29</v>
      </c>
      <c r="I396" s="6" t="s">
        <v>25</v>
      </c>
      <c r="J396" s="6"/>
      <c r="K396" s="6" t="s">
        <v>202</v>
      </c>
      <c r="L396" s="6" t="s">
        <v>203</v>
      </c>
      <c r="M396" s="10">
        <v>73498.734472807351</v>
      </c>
      <c r="N396" s="10">
        <v>73498.734472807351</v>
      </c>
      <c r="O396" s="10">
        <v>73498.734472807351</v>
      </c>
      <c r="P396" s="10">
        <v>73498.734472807351</v>
      </c>
      <c r="Q396" s="10">
        <v>73498.734472807351</v>
      </c>
      <c r="R396" s="10">
        <v>73498.734472807351</v>
      </c>
      <c r="S396" s="10">
        <v>73498.734472807351</v>
      </c>
      <c r="T396" s="10">
        <v>73498.734472807351</v>
      </c>
      <c r="U396" s="10">
        <v>73498.734472807351</v>
      </c>
      <c r="V396" s="10">
        <v>73498.734472807351</v>
      </c>
      <c r="W396" s="10">
        <v>73498.734472807351</v>
      </c>
      <c r="X396" s="10">
        <v>73498.734472807351</v>
      </c>
      <c r="Y396" s="10">
        <v>43446.039536446842</v>
      </c>
      <c r="Z396" s="10">
        <v>0</v>
      </c>
      <c r="AA396" s="10">
        <v>0</v>
      </c>
      <c r="AB396" s="10">
        <v>6124.8945394006132</v>
      </c>
      <c r="AC396" s="10">
        <v>6124.8945394006132</v>
      </c>
      <c r="AD396" s="10">
        <v>6124.8945394006132</v>
      </c>
      <c r="AE396" s="10">
        <v>6124.8945394006132</v>
      </c>
      <c r="AF396" s="10">
        <v>6124.8945394006132</v>
      </c>
      <c r="AG396" s="10">
        <v>6124.8945394006132</v>
      </c>
      <c r="AH396" s="10">
        <v>6124.8945394006132</v>
      </c>
      <c r="AI396" s="10">
        <v>6124.8945394006132</v>
      </c>
      <c r="AJ396" s="10">
        <v>6124.8945394006132</v>
      </c>
      <c r="AK396" s="10">
        <v>881984.81367368845</v>
      </c>
      <c r="AL396" s="10">
        <v>98570.090391052392</v>
      </c>
      <c r="AM396" s="10">
        <v>0</v>
      </c>
      <c r="AN396" s="10">
        <v>0</v>
      </c>
      <c r="AO396" s="10">
        <v>0</v>
      </c>
      <c r="AP396" s="16">
        <f t="shared" si="7"/>
        <v>980554.90406474087</v>
      </c>
    </row>
    <row r="397" spans="1:42" x14ac:dyDescent="0.25">
      <c r="A397" s="6" t="s">
        <v>30</v>
      </c>
      <c r="B397" s="6" t="s">
        <v>18</v>
      </c>
      <c r="C397" s="6" t="s">
        <v>19</v>
      </c>
      <c r="D397" s="7" t="s">
        <v>20</v>
      </c>
      <c r="E397" s="7" t="s">
        <v>21</v>
      </c>
      <c r="F397" s="7" t="s">
        <v>22</v>
      </c>
      <c r="G397" s="7" t="s">
        <v>23</v>
      </c>
      <c r="H397" s="7" t="s">
        <v>31</v>
      </c>
      <c r="I397" s="6" t="s">
        <v>25</v>
      </c>
      <c r="J397" s="6"/>
      <c r="K397" s="6" t="s">
        <v>202</v>
      </c>
      <c r="L397" s="6" t="s">
        <v>203</v>
      </c>
      <c r="M397" s="10">
        <v>27712.573046727994</v>
      </c>
      <c r="N397" s="10">
        <v>27712.573046727994</v>
      </c>
      <c r="O397" s="10">
        <v>27712.573046727994</v>
      </c>
      <c r="P397" s="10">
        <v>27712.573046727994</v>
      </c>
      <c r="Q397" s="10">
        <v>27712.573046727994</v>
      </c>
      <c r="R397" s="10">
        <v>27712.573046727994</v>
      </c>
      <c r="S397" s="10">
        <v>27712.573046727994</v>
      </c>
      <c r="T397" s="10">
        <v>27712.573046727994</v>
      </c>
      <c r="U397" s="10">
        <v>27712.573046727994</v>
      </c>
      <c r="V397" s="10">
        <v>27712.573046727994</v>
      </c>
      <c r="W397" s="10">
        <v>27712.573046727994</v>
      </c>
      <c r="X397" s="10">
        <v>27712.573046727994</v>
      </c>
      <c r="Y397" s="10">
        <v>16381.238724913122</v>
      </c>
      <c r="Z397" s="10">
        <v>0</v>
      </c>
      <c r="AA397" s="10">
        <v>0</v>
      </c>
      <c r="AB397" s="10">
        <v>2309.381087227333</v>
      </c>
      <c r="AC397" s="10">
        <v>2309.381087227333</v>
      </c>
      <c r="AD397" s="10">
        <v>2309.381087227333</v>
      </c>
      <c r="AE397" s="10">
        <v>2309.381087227333</v>
      </c>
      <c r="AF397" s="10">
        <v>2309.381087227333</v>
      </c>
      <c r="AG397" s="10">
        <v>2309.381087227333</v>
      </c>
      <c r="AH397" s="10">
        <v>2309.381087227333</v>
      </c>
      <c r="AI397" s="10">
        <v>2309.381087227333</v>
      </c>
      <c r="AJ397" s="10">
        <v>2309.381087227333</v>
      </c>
      <c r="AK397" s="10">
        <v>332550.87656073592</v>
      </c>
      <c r="AL397" s="10">
        <v>37165.668509959112</v>
      </c>
      <c r="AM397" s="10">
        <v>0</v>
      </c>
      <c r="AN397" s="10">
        <v>0</v>
      </c>
      <c r="AO397" s="10">
        <v>0</v>
      </c>
      <c r="AP397" s="16">
        <f t="shared" si="7"/>
        <v>369716.54507069505</v>
      </c>
    </row>
    <row r="398" spans="1:42" x14ac:dyDescent="0.25">
      <c r="A398" s="6" t="s">
        <v>32</v>
      </c>
      <c r="B398" s="6" t="s">
        <v>18</v>
      </c>
      <c r="C398" s="6" t="s">
        <v>19</v>
      </c>
      <c r="D398" s="7" t="s">
        <v>20</v>
      </c>
      <c r="E398" s="7" t="s">
        <v>21</v>
      </c>
      <c r="F398" s="7" t="s">
        <v>22</v>
      </c>
      <c r="G398" s="7" t="s">
        <v>23</v>
      </c>
      <c r="H398" s="7" t="s">
        <v>33</v>
      </c>
      <c r="I398" s="6" t="s">
        <v>25</v>
      </c>
      <c r="J398" s="6"/>
      <c r="K398" s="6" t="s">
        <v>202</v>
      </c>
      <c r="L398" s="6" t="s">
        <v>203</v>
      </c>
      <c r="M398" s="10">
        <v>7162.5744361068137</v>
      </c>
      <c r="N398" s="10">
        <v>7162.5744361068137</v>
      </c>
      <c r="O398" s="10">
        <v>7162.5744361068137</v>
      </c>
      <c r="P398" s="10">
        <v>7162.5744361068137</v>
      </c>
      <c r="Q398" s="10">
        <v>7162.5744361068137</v>
      </c>
      <c r="R398" s="10">
        <v>7162.5744361068137</v>
      </c>
      <c r="S398" s="10">
        <v>7162.5744361068137</v>
      </c>
      <c r="T398" s="10">
        <v>7162.5744361068137</v>
      </c>
      <c r="U398" s="10">
        <v>7162.5744361068137</v>
      </c>
      <c r="V398" s="10">
        <v>7162.5744361068137</v>
      </c>
      <c r="W398" s="10">
        <v>7162.5744361068137</v>
      </c>
      <c r="X398" s="10">
        <v>7162.5744361068137</v>
      </c>
      <c r="Y398" s="10">
        <v>4233.9288354426835</v>
      </c>
      <c r="Z398" s="10">
        <v>0</v>
      </c>
      <c r="AA398" s="10">
        <v>0</v>
      </c>
      <c r="AB398" s="10">
        <v>596.88120300890125</v>
      </c>
      <c r="AC398" s="10">
        <v>596.88120300890125</v>
      </c>
      <c r="AD398" s="10">
        <v>596.88120300890125</v>
      </c>
      <c r="AE398" s="10">
        <v>596.88120300890125</v>
      </c>
      <c r="AF398" s="10">
        <v>596.88120300890125</v>
      </c>
      <c r="AG398" s="10">
        <v>596.88120300890125</v>
      </c>
      <c r="AH398" s="10">
        <v>596.88120300890125</v>
      </c>
      <c r="AI398" s="10">
        <v>596.88120300890125</v>
      </c>
      <c r="AJ398" s="10">
        <v>596.88120300890125</v>
      </c>
      <c r="AK398" s="10">
        <v>85950.893233281764</v>
      </c>
      <c r="AL398" s="10">
        <v>9605.8596625227947</v>
      </c>
      <c r="AM398" s="10">
        <v>0</v>
      </c>
      <c r="AN398" s="10">
        <v>0</v>
      </c>
      <c r="AO398" s="10">
        <v>0</v>
      </c>
      <c r="AP398" s="16">
        <f t="shared" si="7"/>
        <v>95556.752895804559</v>
      </c>
    </row>
    <row r="399" spans="1:42" x14ac:dyDescent="0.25">
      <c r="A399" s="6" t="s">
        <v>34</v>
      </c>
      <c r="B399" s="6" t="s">
        <v>18</v>
      </c>
      <c r="C399" s="6" t="s">
        <v>19</v>
      </c>
      <c r="D399" s="7" t="s">
        <v>20</v>
      </c>
      <c r="E399" s="7" t="s">
        <v>21</v>
      </c>
      <c r="F399" s="7" t="s">
        <v>22</v>
      </c>
      <c r="G399" s="7" t="s">
        <v>23</v>
      </c>
      <c r="H399" s="7" t="s">
        <v>35</v>
      </c>
      <c r="I399" s="6" t="s">
        <v>25</v>
      </c>
      <c r="J399" s="6"/>
      <c r="K399" s="6" t="s">
        <v>202</v>
      </c>
      <c r="L399" s="6" t="s">
        <v>203</v>
      </c>
      <c r="M399" s="10">
        <v>56345.477710606734</v>
      </c>
      <c r="N399" s="10">
        <v>56345.477710606734</v>
      </c>
      <c r="O399" s="10">
        <v>56345.477710606734</v>
      </c>
      <c r="P399" s="10">
        <v>56345.477710606734</v>
      </c>
      <c r="Q399" s="10">
        <v>56345.477710606734</v>
      </c>
      <c r="R399" s="10">
        <v>56345.477710606734</v>
      </c>
      <c r="S399" s="10">
        <v>56345.477710606734</v>
      </c>
      <c r="T399" s="10">
        <v>56345.477710606734</v>
      </c>
      <c r="U399" s="10">
        <v>56345.477710606734</v>
      </c>
      <c r="V399" s="10">
        <v>56345.477710606734</v>
      </c>
      <c r="W399" s="10">
        <v>56345.477710606734</v>
      </c>
      <c r="X399" s="10">
        <v>56345.477710606734</v>
      </c>
      <c r="Y399" s="10">
        <v>33306.560382682394</v>
      </c>
      <c r="Z399" s="10">
        <v>0</v>
      </c>
      <c r="AA399" s="10">
        <v>0</v>
      </c>
      <c r="AB399" s="10">
        <v>4695.4564758838951</v>
      </c>
      <c r="AC399" s="10">
        <v>4695.4564758838951</v>
      </c>
      <c r="AD399" s="10">
        <v>4695.4564758838951</v>
      </c>
      <c r="AE399" s="10">
        <v>4695.4564758838951</v>
      </c>
      <c r="AF399" s="10">
        <v>4695.4564758838951</v>
      </c>
      <c r="AG399" s="10">
        <v>4695.4564758838951</v>
      </c>
      <c r="AH399" s="10">
        <v>4695.4564758838951</v>
      </c>
      <c r="AI399" s="10">
        <v>4695.4564758838951</v>
      </c>
      <c r="AJ399" s="10">
        <v>4695.4564758838951</v>
      </c>
      <c r="AK399" s="10">
        <v>676145.73252728081</v>
      </c>
      <c r="AL399" s="10">
        <v>75565.668665637451</v>
      </c>
      <c r="AM399" s="10">
        <v>0</v>
      </c>
      <c r="AN399" s="10">
        <v>0</v>
      </c>
      <c r="AO399" s="10">
        <v>0</v>
      </c>
      <c r="AP399" s="16">
        <f t="shared" si="7"/>
        <v>751711.4011929183</v>
      </c>
    </row>
    <row r="400" spans="1:42" x14ac:dyDescent="0.25">
      <c r="A400" s="6" t="s">
        <v>38</v>
      </c>
      <c r="B400" s="6" t="s">
        <v>18</v>
      </c>
      <c r="C400" s="6" t="s">
        <v>19</v>
      </c>
      <c r="D400" s="7" t="s">
        <v>20</v>
      </c>
      <c r="E400" s="7" t="s">
        <v>21</v>
      </c>
      <c r="F400" s="7" t="s">
        <v>22</v>
      </c>
      <c r="G400" s="7" t="s">
        <v>23</v>
      </c>
      <c r="H400" s="7" t="s">
        <v>39</v>
      </c>
      <c r="I400" s="6" t="s">
        <v>25</v>
      </c>
      <c r="J400" s="6"/>
      <c r="K400" s="6" t="s">
        <v>202</v>
      </c>
      <c r="L400" s="6" t="s">
        <v>203</v>
      </c>
      <c r="M400" s="10">
        <v>37559.9384316824</v>
      </c>
      <c r="N400" s="10">
        <v>37559.9384316824</v>
      </c>
      <c r="O400" s="10">
        <v>37559.9384316824</v>
      </c>
      <c r="P400" s="10">
        <v>37559.9384316824</v>
      </c>
      <c r="Q400" s="10">
        <v>37559.9384316824</v>
      </c>
      <c r="R400" s="10">
        <v>37559.9384316824</v>
      </c>
      <c r="S400" s="10">
        <v>37559.9384316824</v>
      </c>
      <c r="T400" s="10">
        <v>37559.9384316824</v>
      </c>
      <c r="U400" s="10">
        <v>37559.9384316824</v>
      </c>
      <c r="V400" s="10">
        <v>37559.9384316824</v>
      </c>
      <c r="W400" s="10">
        <v>37559.9384316824</v>
      </c>
      <c r="X400" s="10">
        <v>37559.9384316824</v>
      </c>
      <c r="Y400" s="10">
        <v>22202.14217607044</v>
      </c>
      <c r="Z400" s="10">
        <v>0</v>
      </c>
      <c r="AA400" s="10">
        <v>0</v>
      </c>
      <c r="AB400" s="10">
        <v>3129.9948693068668</v>
      </c>
      <c r="AC400" s="10">
        <v>3129.9948693068668</v>
      </c>
      <c r="AD400" s="10">
        <v>3129.9948693068668</v>
      </c>
      <c r="AE400" s="10">
        <v>3129.9948693068668</v>
      </c>
      <c r="AF400" s="10">
        <v>3129.9948693068668</v>
      </c>
      <c r="AG400" s="10">
        <v>3129.9948693068668</v>
      </c>
      <c r="AH400" s="10">
        <v>3129.9948693068668</v>
      </c>
      <c r="AI400" s="10">
        <v>3129.9948693068668</v>
      </c>
      <c r="AJ400" s="10">
        <v>3129.9948693068668</v>
      </c>
      <c r="AK400" s="10">
        <v>450719.26118018886</v>
      </c>
      <c r="AL400" s="10">
        <v>50372.095999832229</v>
      </c>
      <c r="AM400" s="10">
        <v>0</v>
      </c>
      <c r="AN400" s="10">
        <v>0</v>
      </c>
      <c r="AO400" s="10">
        <v>0</v>
      </c>
      <c r="AP400" s="16">
        <f t="shared" si="7"/>
        <v>501091.35718002106</v>
      </c>
    </row>
    <row r="401" spans="1:42" x14ac:dyDescent="0.25">
      <c r="A401" s="6" t="s">
        <v>40</v>
      </c>
      <c r="B401" s="6" t="s">
        <v>18</v>
      </c>
      <c r="C401" s="6" t="s">
        <v>19</v>
      </c>
      <c r="D401" s="7" t="s">
        <v>20</v>
      </c>
      <c r="E401" s="7" t="s">
        <v>21</v>
      </c>
      <c r="F401" s="7" t="s">
        <v>22</v>
      </c>
      <c r="G401" s="7" t="s">
        <v>23</v>
      </c>
      <c r="H401" s="7" t="s">
        <v>41</v>
      </c>
      <c r="I401" s="6" t="s">
        <v>25</v>
      </c>
      <c r="J401" s="6"/>
      <c r="K401" s="6" t="s">
        <v>202</v>
      </c>
      <c r="L401" s="6" t="s">
        <v>203</v>
      </c>
      <c r="M401" s="10">
        <v>2684.7174265807175</v>
      </c>
      <c r="N401" s="10">
        <v>2684.7174265807175</v>
      </c>
      <c r="O401" s="10">
        <v>2684.7174265807175</v>
      </c>
      <c r="P401" s="10">
        <v>2684.7174265807175</v>
      </c>
      <c r="Q401" s="10">
        <v>2684.7174265807175</v>
      </c>
      <c r="R401" s="10">
        <v>2684.7174265807175</v>
      </c>
      <c r="S401" s="10">
        <v>2684.7174265807175</v>
      </c>
      <c r="T401" s="10">
        <v>2684.7174265807175</v>
      </c>
      <c r="U401" s="10">
        <v>2684.7174265807175</v>
      </c>
      <c r="V401" s="10">
        <v>2684.7174265807175</v>
      </c>
      <c r="W401" s="10">
        <v>2684.7174265807175</v>
      </c>
      <c r="X401" s="10">
        <v>2684.7174265807175</v>
      </c>
      <c r="Y401" s="10">
        <v>1586.9746157146301</v>
      </c>
      <c r="Z401" s="10">
        <v>0</v>
      </c>
      <c r="AA401" s="10">
        <v>0</v>
      </c>
      <c r="AB401" s="10">
        <v>223.72645221505979</v>
      </c>
      <c r="AC401" s="10">
        <v>223.72645221505979</v>
      </c>
      <c r="AD401" s="10">
        <v>223.72645221505979</v>
      </c>
      <c r="AE401" s="10">
        <v>223.72645221505979</v>
      </c>
      <c r="AF401" s="10">
        <v>223.72645221505979</v>
      </c>
      <c r="AG401" s="10">
        <v>223.72645221505979</v>
      </c>
      <c r="AH401" s="10">
        <v>223.72645221505979</v>
      </c>
      <c r="AI401" s="10">
        <v>223.72645221505979</v>
      </c>
      <c r="AJ401" s="10">
        <v>223.72645221505979</v>
      </c>
      <c r="AK401" s="10">
        <v>32216.609118968616</v>
      </c>
      <c r="AL401" s="10">
        <v>3600.5126856501684</v>
      </c>
      <c r="AM401" s="10">
        <v>0</v>
      </c>
      <c r="AN401" s="10">
        <v>0</v>
      </c>
      <c r="AO401" s="10">
        <v>0</v>
      </c>
      <c r="AP401" s="16">
        <f t="shared" si="7"/>
        <v>35817.121804618786</v>
      </c>
    </row>
    <row r="402" spans="1:42" x14ac:dyDescent="0.25">
      <c r="A402" s="6" t="s">
        <v>42</v>
      </c>
      <c r="B402" s="6" t="s">
        <v>18</v>
      </c>
      <c r="C402" s="6" t="s">
        <v>19</v>
      </c>
      <c r="D402" s="7" t="s">
        <v>20</v>
      </c>
      <c r="E402" s="7" t="s">
        <v>21</v>
      </c>
      <c r="F402" s="7" t="s">
        <v>22</v>
      </c>
      <c r="G402" s="7" t="s">
        <v>23</v>
      </c>
      <c r="H402" s="7" t="s">
        <v>43</v>
      </c>
      <c r="I402" s="6" t="s">
        <v>25</v>
      </c>
      <c r="J402" s="6"/>
      <c r="K402" s="6" t="s">
        <v>202</v>
      </c>
      <c r="L402" s="6" t="s">
        <v>203</v>
      </c>
      <c r="M402" s="10">
        <v>14969.439559474718</v>
      </c>
      <c r="N402" s="10">
        <v>14969.439559474718</v>
      </c>
      <c r="O402" s="10">
        <v>14969.439559474718</v>
      </c>
      <c r="P402" s="10">
        <v>14969.439559474718</v>
      </c>
      <c r="Q402" s="10">
        <v>14969.439559474718</v>
      </c>
      <c r="R402" s="10">
        <v>14969.439559474718</v>
      </c>
      <c r="S402" s="10">
        <v>14969.439559474718</v>
      </c>
      <c r="T402" s="10">
        <v>14969.439559474718</v>
      </c>
      <c r="U402" s="10">
        <v>14969.439559474718</v>
      </c>
      <c r="V402" s="10">
        <v>14969.439559474718</v>
      </c>
      <c r="W402" s="10">
        <v>14969.439559474718</v>
      </c>
      <c r="X402" s="10">
        <v>14969.439559474718</v>
      </c>
      <c r="Y402" s="10">
        <v>8848.636450023645</v>
      </c>
      <c r="Z402" s="10">
        <v>0</v>
      </c>
      <c r="AA402" s="10">
        <v>0</v>
      </c>
      <c r="AB402" s="10">
        <v>1247.453296622893</v>
      </c>
      <c r="AC402" s="10">
        <v>1247.453296622893</v>
      </c>
      <c r="AD402" s="10">
        <v>1247.453296622893</v>
      </c>
      <c r="AE402" s="10">
        <v>1247.453296622893</v>
      </c>
      <c r="AF402" s="10">
        <v>1247.453296622893</v>
      </c>
      <c r="AG402" s="10">
        <v>1247.453296622893</v>
      </c>
      <c r="AH402" s="10">
        <v>1247.453296622893</v>
      </c>
      <c r="AI402" s="10">
        <v>1247.453296622893</v>
      </c>
      <c r="AJ402" s="10">
        <v>1247.453296622893</v>
      </c>
      <c r="AK402" s="10">
        <v>179633.27471369656</v>
      </c>
      <c r="AL402" s="10">
        <v>20075.71611962968</v>
      </c>
      <c r="AM402" s="10">
        <v>0</v>
      </c>
      <c r="AN402" s="10">
        <v>0</v>
      </c>
      <c r="AO402" s="10">
        <v>0</v>
      </c>
      <c r="AP402" s="16">
        <f t="shared" si="7"/>
        <v>199708.99083332624</v>
      </c>
    </row>
    <row r="403" spans="1:42" x14ac:dyDescent="0.25">
      <c r="A403" s="6" t="s">
        <v>92</v>
      </c>
      <c r="B403" s="6" t="s">
        <v>18</v>
      </c>
      <c r="C403" s="6" t="s">
        <v>62</v>
      </c>
      <c r="D403" s="7" t="s">
        <v>63</v>
      </c>
      <c r="E403" s="7" t="s">
        <v>21</v>
      </c>
      <c r="F403" s="7" t="s">
        <v>64</v>
      </c>
      <c r="G403" s="7" t="s">
        <v>23</v>
      </c>
      <c r="H403" s="7" t="s">
        <v>204</v>
      </c>
      <c r="I403" s="6" t="s">
        <v>66</v>
      </c>
      <c r="J403" s="6"/>
      <c r="K403" s="6" t="s">
        <v>205</v>
      </c>
      <c r="L403" s="6" t="s">
        <v>206</v>
      </c>
      <c r="M403" s="10">
        <v>18131.410633495703</v>
      </c>
      <c r="N403" s="10">
        <v>18131.410633495703</v>
      </c>
      <c r="O403" s="10">
        <v>18131.410633495703</v>
      </c>
      <c r="P403" s="10">
        <v>18131.410633495703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72525.642533982813</v>
      </c>
      <c r="AL403" s="10">
        <v>0</v>
      </c>
      <c r="AM403" s="10">
        <v>0</v>
      </c>
      <c r="AN403" s="10">
        <v>0</v>
      </c>
      <c r="AO403" s="10">
        <v>0</v>
      </c>
      <c r="AP403" s="16">
        <f t="shared" si="7"/>
        <v>72525.642533982813</v>
      </c>
    </row>
    <row r="404" spans="1:42" x14ac:dyDescent="0.25">
      <c r="A404" s="6" t="s">
        <v>100</v>
      </c>
      <c r="B404" s="6" t="s">
        <v>18</v>
      </c>
      <c r="C404" s="6" t="s">
        <v>62</v>
      </c>
      <c r="D404" s="7" t="s">
        <v>63</v>
      </c>
      <c r="E404" s="7" t="s">
        <v>21</v>
      </c>
      <c r="F404" s="7" t="s">
        <v>64</v>
      </c>
      <c r="G404" s="7" t="s">
        <v>23</v>
      </c>
      <c r="H404" s="7" t="s">
        <v>207</v>
      </c>
      <c r="I404" s="6" t="s">
        <v>66</v>
      </c>
      <c r="J404" s="6"/>
      <c r="K404" s="6" t="s">
        <v>205</v>
      </c>
      <c r="L404" s="6" t="s">
        <v>206</v>
      </c>
      <c r="M404" s="10">
        <v>18131.410633495703</v>
      </c>
      <c r="N404" s="10">
        <v>18131.410633495703</v>
      </c>
      <c r="O404" s="10">
        <v>18131.410633495703</v>
      </c>
      <c r="P404" s="10">
        <v>18131.410633495703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  <c r="AI404" s="10">
        <v>0</v>
      </c>
      <c r="AJ404" s="10">
        <v>0</v>
      </c>
      <c r="AK404" s="10">
        <v>72525.642533982813</v>
      </c>
      <c r="AL404" s="10">
        <v>0</v>
      </c>
      <c r="AM404" s="10">
        <v>0</v>
      </c>
      <c r="AN404" s="10">
        <v>0</v>
      </c>
      <c r="AO404" s="10">
        <v>0</v>
      </c>
      <c r="AP404" s="16">
        <f t="shared" si="7"/>
        <v>72525.642533982813</v>
      </c>
    </row>
    <row r="405" spans="1:42" x14ac:dyDescent="0.25">
      <c r="A405" s="6" t="s">
        <v>161</v>
      </c>
      <c r="B405" s="6" t="s">
        <v>18</v>
      </c>
      <c r="C405" s="6" t="s">
        <v>62</v>
      </c>
      <c r="D405" s="7" t="s">
        <v>63</v>
      </c>
      <c r="E405" s="7" t="s">
        <v>21</v>
      </c>
      <c r="F405" s="7" t="s">
        <v>64</v>
      </c>
      <c r="G405" s="7" t="s">
        <v>23</v>
      </c>
      <c r="H405" s="7" t="s">
        <v>208</v>
      </c>
      <c r="I405" s="6" t="s">
        <v>66</v>
      </c>
      <c r="J405" s="6"/>
      <c r="K405" s="6" t="s">
        <v>205</v>
      </c>
      <c r="L405" s="6" t="s">
        <v>206</v>
      </c>
      <c r="M405" s="10">
        <v>18131.410633495703</v>
      </c>
      <c r="N405" s="10">
        <v>18131.410633495703</v>
      </c>
      <c r="O405" s="10">
        <v>18131.410633495703</v>
      </c>
      <c r="P405" s="10">
        <v>18131.410633495703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  <c r="AI405" s="10">
        <v>0</v>
      </c>
      <c r="AJ405" s="10">
        <v>0</v>
      </c>
      <c r="AK405" s="10">
        <v>72525.642533982813</v>
      </c>
      <c r="AL405" s="10">
        <v>0</v>
      </c>
      <c r="AM405" s="10">
        <v>0</v>
      </c>
      <c r="AN405" s="10">
        <v>0</v>
      </c>
      <c r="AO405" s="10">
        <v>0</v>
      </c>
      <c r="AP405" s="16">
        <f t="shared" si="7"/>
        <v>72525.642533982813</v>
      </c>
    </row>
    <row r="406" spans="1:42" x14ac:dyDescent="0.25">
      <c r="A406" s="6" t="s">
        <v>163</v>
      </c>
      <c r="B406" s="6" t="s">
        <v>18</v>
      </c>
      <c r="C406" s="6" t="s">
        <v>62</v>
      </c>
      <c r="D406" s="7" t="s">
        <v>63</v>
      </c>
      <c r="E406" s="7" t="s">
        <v>21</v>
      </c>
      <c r="F406" s="7" t="s">
        <v>64</v>
      </c>
      <c r="G406" s="7" t="s">
        <v>23</v>
      </c>
      <c r="H406" s="7" t="s">
        <v>209</v>
      </c>
      <c r="I406" s="6" t="s">
        <v>66</v>
      </c>
      <c r="J406" s="6"/>
      <c r="K406" s="6" t="s">
        <v>205</v>
      </c>
      <c r="L406" s="6" t="s">
        <v>206</v>
      </c>
      <c r="M406" s="10">
        <v>18131.410633495703</v>
      </c>
      <c r="N406" s="10">
        <v>18131.410633495703</v>
      </c>
      <c r="O406" s="10">
        <v>18131.410633495703</v>
      </c>
      <c r="P406" s="10">
        <v>18131.410633495703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  <c r="AI406" s="10">
        <v>0</v>
      </c>
      <c r="AJ406" s="10">
        <v>0</v>
      </c>
      <c r="AK406" s="10">
        <v>72525.642533982813</v>
      </c>
      <c r="AL406" s="10">
        <v>0</v>
      </c>
      <c r="AM406" s="10">
        <v>0</v>
      </c>
      <c r="AN406" s="10">
        <v>0</v>
      </c>
      <c r="AO406" s="10">
        <v>0</v>
      </c>
      <c r="AP406" s="16">
        <f t="shared" si="7"/>
        <v>72525.642533982813</v>
      </c>
    </row>
    <row r="407" spans="1:42" x14ac:dyDescent="0.25">
      <c r="A407" s="6" t="s">
        <v>28</v>
      </c>
      <c r="B407" s="6" t="s">
        <v>18</v>
      </c>
      <c r="C407" s="6" t="s">
        <v>62</v>
      </c>
      <c r="D407" s="7" t="s">
        <v>63</v>
      </c>
      <c r="E407" s="7" t="s">
        <v>21</v>
      </c>
      <c r="F407" s="7" t="s">
        <v>64</v>
      </c>
      <c r="G407" s="7" t="s">
        <v>23</v>
      </c>
      <c r="H407" s="7" t="s">
        <v>65</v>
      </c>
      <c r="I407" s="6" t="s">
        <v>66</v>
      </c>
      <c r="J407" s="6"/>
      <c r="K407" s="6" t="s">
        <v>210</v>
      </c>
      <c r="L407" s="6" t="s">
        <v>211</v>
      </c>
      <c r="M407" s="10">
        <v>232666.29820314323</v>
      </c>
      <c r="N407" s="10">
        <v>0</v>
      </c>
      <c r="O407" s="10">
        <v>775554.32029724552</v>
      </c>
      <c r="P407" s="10">
        <v>0</v>
      </c>
      <c r="Q407" s="10">
        <v>0</v>
      </c>
      <c r="R407" s="10">
        <v>0</v>
      </c>
      <c r="S407" s="10">
        <v>0</v>
      </c>
      <c r="T407" s="10">
        <v>155110.86194547947</v>
      </c>
      <c r="U407" s="10">
        <v>103441.75972397551</v>
      </c>
      <c r="V407" s="10">
        <v>0</v>
      </c>
      <c r="W407" s="10">
        <v>344805.86261373287</v>
      </c>
      <c r="X407" s="10">
        <v>0</v>
      </c>
      <c r="Y407" s="10">
        <v>0</v>
      </c>
      <c r="Z407" s="10">
        <v>0</v>
      </c>
      <c r="AA407" s="10">
        <v>0</v>
      </c>
      <c r="AB407" s="10">
        <v>0</v>
      </c>
      <c r="AC407" s="10">
        <v>0</v>
      </c>
      <c r="AD407" s="10">
        <v>0</v>
      </c>
      <c r="AE407" s="10">
        <v>0</v>
      </c>
      <c r="AF407" s="10">
        <v>0</v>
      </c>
      <c r="AG407" s="10">
        <v>0</v>
      </c>
      <c r="AH407" s="10">
        <v>0</v>
      </c>
      <c r="AI407" s="10">
        <v>0</v>
      </c>
      <c r="AJ407" s="10">
        <v>0</v>
      </c>
      <c r="AK407" s="10">
        <v>1611579.1027835768</v>
      </c>
      <c r="AL407" s="10">
        <v>0</v>
      </c>
      <c r="AM407" s="10">
        <v>0</v>
      </c>
      <c r="AN407" s="10">
        <v>0</v>
      </c>
      <c r="AO407" s="10">
        <v>0</v>
      </c>
      <c r="AP407" s="16">
        <f t="shared" si="7"/>
        <v>1611579.1027835768</v>
      </c>
    </row>
    <row r="408" spans="1:42" x14ac:dyDescent="0.25">
      <c r="A408" s="6" t="s">
        <v>30</v>
      </c>
      <c r="B408" s="6" t="s">
        <v>18</v>
      </c>
      <c r="C408" s="6" t="s">
        <v>62</v>
      </c>
      <c r="D408" s="7" t="s">
        <v>63</v>
      </c>
      <c r="E408" s="7" t="s">
        <v>21</v>
      </c>
      <c r="F408" s="7" t="s">
        <v>64</v>
      </c>
      <c r="G408" s="7" t="s">
        <v>23</v>
      </c>
      <c r="H408" s="7" t="s">
        <v>69</v>
      </c>
      <c r="I408" s="6" t="s">
        <v>66</v>
      </c>
      <c r="J408" s="6"/>
      <c r="K408" s="6" t="s">
        <v>210</v>
      </c>
      <c r="L408" s="6" t="s">
        <v>211</v>
      </c>
      <c r="M408" s="10">
        <v>91097.124036660432</v>
      </c>
      <c r="N408" s="10">
        <v>0</v>
      </c>
      <c r="O408" s="10">
        <v>303657.06602907064</v>
      </c>
      <c r="P408" s="10">
        <v>0</v>
      </c>
      <c r="Q408" s="10">
        <v>0</v>
      </c>
      <c r="R408" s="10">
        <v>0</v>
      </c>
      <c r="S408" s="10">
        <v>0</v>
      </c>
      <c r="T408" s="10">
        <v>60731.408977874868</v>
      </c>
      <c r="U408" s="10">
        <v>40505.539758938583</v>
      </c>
      <c r="V408" s="10">
        <v>0</v>
      </c>
      <c r="W408" s="10">
        <v>135018.46463637194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  <c r="AG408" s="10">
        <v>0</v>
      </c>
      <c r="AH408" s="10">
        <v>0</v>
      </c>
      <c r="AI408" s="10">
        <v>0</v>
      </c>
      <c r="AJ408" s="10">
        <v>0</v>
      </c>
      <c r="AK408" s="10">
        <v>631009.6034389165</v>
      </c>
      <c r="AL408" s="10">
        <v>0</v>
      </c>
      <c r="AM408" s="10">
        <v>0</v>
      </c>
      <c r="AN408" s="10">
        <v>0</v>
      </c>
      <c r="AO408" s="10">
        <v>0</v>
      </c>
      <c r="AP408" s="16">
        <f t="shared" si="7"/>
        <v>631009.6034389165</v>
      </c>
    </row>
    <row r="409" spans="1:42" x14ac:dyDescent="0.25">
      <c r="A409" s="6" t="s">
        <v>32</v>
      </c>
      <c r="B409" s="6" t="s">
        <v>18</v>
      </c>
      <c r="C409" s="6" t="s">
        <v>62</v>
      </c>
      <c r="D409" s="7" t="s">
        <v>63</v>
      </c>
      <c r="E409" s="7" t="s">
        <v>21</v>
      </c>
      <c r="F409" s="7" t="s">
        <v>64</v>
      </c>
      <c r="G409" s="7" t="s">
        <v>23</v>
      </c>
      <c r="H409" s="7" t="s">
        <v>70</v>
      </c>
      <c r="I409" s="6" t="s">
        <v>66</v>
      </c>
      <c r="J409" s="6"/>
      <c r="K409" s="6" t="s">
        <v>210</v>
      </c>
      <c r="L409" s="6" t="s">
        <v>211</v>
      </c>
      <c r="M409" s="10">
        <v>23751.558598071315</v>
      </c>
      <c r="N409" s="10">
        <v>0</v>
      </c>
      <c r="O409" s="10">
        <v>79171.861993571059</v>
      </c>
      <c r="P409" s="10">
        <v>0</v>
      </c>
      <c r="Q409" s="10">
        <v>0</v>
      </c>
      <c r="R409" s="10">
        <v>0</v>
      </c>
      <c r="S409" s="10">
        <v>0</v>
      </c>
      <c r="T409" s="10">
        <v>15834.372398714208</v>
      </c>
      <c r="U409" s="10">
        <v>10547.226266663731</v>
      </c>
      <c r="V409" s="10">
        <v>0</v>
      </c>
      <c r="W409" s="10">
        <v>35157.420569444279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  <c r="AG409" s="10">
        <v>0</v>
      </c>
      <c r="AH409" s="10">
        <v>0</v>
      </c>
      <c r="AI409" s="10">
        <v>0</v>
      </c>
      <c r="AJ409" s="10">
        <v>0</v>
      </c>
      <c r="AK409" s="10">
        <v>164462.43982646463</v>
      </c>
      <c r="AL409" s="10">
        <v>0</v>
      </c>
      <c r="AM409" s="10">
        <v>0</v>
      </c>
      <c r="AN409" s="10">
        <v>0</v>
      </c>
      <c r="AO409" s="10">
        <v>0</v>
      </c>
      <c r="AP409" s="16">
        <f t="shared" si="7"/>
        <v>164462.43982646463</v>
      </c>
    </row>
    <row r="410" spans="1:42" x14ac:dyDescent="0.25">
      <c r="A410" s="6" t="s">
        <v>34</v>
      </c>
      <c r="B410" s="6" t="s">
        <v>18</v>
      </c>
      <c r="C410" s="6" t="s">
        <v>62</v>
      </c>
      <c r="D410" s="7" t="s">
        <v>63</v>
      </c>
      <c r="E410" s="7" t="s">
        <v>21</v>
      </c>
      <c r="F410" s="7" t="s">
        <v>64</v>
      </c>
      <c r="G410" s="7" t="s">
        <v>23</v>
      </c>
      <c r="H410" s="7" t="s">
        <v>71</v>
      </c>
      <c r="I410" s="6" t="s">
        <v>66</v>
      </c>
      <c r="J410" s="6"/>
      <c r="K410" s="6" t="s">
        <v>210</v>
      </c>
      <c r="L410" s="6" t="s">
        <v>211</v>
      </c>
      <c r="M410" s="10">
        <v>147309.1407671718</v>
      </c>
      <c r="N410" s="10">
        <v>0</v>
      </c>
      <c r="O410" s="10">
        <v>491030.45513077517</v>
      </c>
      <c r="P410" s="10">
        <v>0</v>
      </c>
      <c r="Q410" s="10">
        <v>0</v>
      </c>
      <c r="R410" s="10">
        <v>0</v>
      </c>
      <c r="S410" s="10">
        <v>0</v>
      </c>
      <c r="T410" s="10">
        <v>98206.086798215794</v>
      </c>
      <c r="U410" s="10">
        <v>65033.461474196978</v>
      </c>
      <c r="V410" s="10">
        <v>0</v>
      </c>
      <c r="W410" s="10">
        <v>216778.20294437709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0</v>
      </c>
      <c r="AG410" s="10">
        <v>0</v>
      </c>
      <c r="AH410" s="10">
        <v>0</v>
      </c>
      <c r="AI410" s="10">
        <v>0</v>
      </c>
      <c r="AJ410" s="10">
        <v>0</v>
      </c>
      <c r="AK410" s="10">
        <v>1018357.3471147367</v>
      </c>
      <c r="AL410" s="10">
        <v>0</v>
      </c>
      <c r="AM410" s="10">
        <v>0</v>
      </c>
      <c r="AN410" s="10">
        <v>0</v>
      </c>
      <c r="AO410" s="10">
        <v>0</v>
      </c>
      <c r="AP410" s="16">
        <f t="shared" si="7"/>
        <v>1018357.3471147367</v>
      </c>
    </row>
    <row r="411" spans="1:42" x14ac:dyDescent="0.25">
      <c r="A411" s="6" t="s">
        <v>30</v>
      </c>
      <c r="B411" s="6" t="s">
        <v>18</v>
      </c>
      <c r="C411" s="6" t="s">
        <v>62</v>
      </c>
      <c r="D411" s="7" t="s">
        <v>63</v>
      </c>
      <c r="E411" s="7" t="s">
        <v>21</v>
      </c>
      <c r="F411" s="7" t="s">
        <v>64</v>
      </c>
      <c r="G411" s="7" t="s">
        <v>23</v>
      </c>
      <c r="H411" s="7" t="s">
        <v>69</v>
      </c>
      <c r="I411" s="6" t="s">
        <v>66</v>
      </c>
      <c r="J411" s="6"/>
      <c r="K411" s="6" t="s">
        <v>212</v>
      </c>
      <c r="L411" s="6" t="s">
        <v>213</v>
      </c>
      <c r="M411" s="10">
        <v>0</v>
      </c>
      <c r="N411" s="10">
        <v>0</v>
      </c>
      <c r="O411" s="10">
        <v>89935.6562741175</v>
      </c>
      <c r="P411" s="10">
        <v>89935.6562741175</v>
      </c>
      <c r="Q411" s="10">
        <v>89935.6562741175</v>
      </c>
      <c r="R411" s="10">
        <v>0</v>
      </c>
      <c r="S411" s="10">
        <v>0</v>
      </c>
      <c r="T411" s="10">
        <v>0</v>
      </c>
      <c r="U411" s="10">
        <v>0</v>
      </c>
      <c r="V411" s="10">
        <v>16222.95916148267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  <c r="AG411" s="10">
        <v>0</v>
      </c>
      <c r="AH411" s="10">
        <v>0</v>
      </c>
      <c r="AI411" s="10">
        <v>0</v>
      </c>
      <c r="AJ411" s="10">
        <v>0</v>
      </c>
      <c r="AK411" s="10">
        <v>286029.92798383516</v>
      </c>
      <c r="AL411" s="10">
        <v>0</v>
      </c>
      <c r="AM411" s="10">
        <v>0</v>
      </c>
      <c r="AN411" s="10">
        <v>0</v>
      </c>
      <c r="AO411" s="10">
        <v>0</v>
      </c>
      <c r="AP411" s="16">
        <f t="shared" si="7"/>
        <v>286029.92798383516</v>
      </c>
    </row>
    <row r="412" spans="1:42" x14ac:dyDescent="0.25">
      <c r="A412" s="6" t="s">
        <v>32</v>
      </c>
      <c r="B412" s="6" t="s">
        <v>18</v>
      </c>
      <c r="C412" s="6" t="s">
        <v>62</v>
      </c>
      <c r="D412" s="7" t="s">
        <v>63</v>
      </c>
      <c r="E412" s="7" t="s">
        <v>21</v>
      </c>
      <c r="F412" s="7" t="s">
        <v>64</v>
      </c>
      <c r="G412" s="7" t="s">
        <v>23</v>
      </c>
      <c r="H412" s="7" t="s">
        <v>70</v>
      </c>
      <c r="I412" s="6" t="s">
        <v>66</v>
      </c>
      <c r="J412" s="6"/>
      <c r="K412" s="6" t="s">
        <v>212</v>
      </c>
      <c r="L412" s="6" t="s">
        <v>213</v>
      </c>
      <c r="M412" s="10">
        <v>0</v>
      </c>
      <c r="N412" s="10">
        <v>0</v>
      </c>
      <c r="O412" s="10">
        <v>23418.322995853618</v>
      </c>
      <c r="P412" s="10">
        <v>23418.322995853618</v>
      </c>
      <c r="Q412" s="10">
        <v>23418.322995853618</v>
      </c>
      <c r="R412" s="10">
        <v>0</v>
      </c>
      <c r="S412" s="10">
        <v>0</v>
      </c>
      <c r="T412" s="10">
        <v>0</v>
      </c>
      <c r="U412" s="10">
        <v>0</v>
      </c>
      <c r="V412" s="10">
        <v>4224.291837840372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  <c r="AG412" s="10">
        <v>0</v>
      </c>
      <c r="AH412" s="10">
        <v>0</v>
      </c>
      <c r="AI412" s="10">
        <v>0</v>
      </c>
      <c r="AJ412" s="10">
        <v>0</v>
      </c>
      <c r="AK412" s="10">
        <v>74479.26082540123</v>
      </c>
      <c r="AL412" s="10">
        <v>0</v>
      </c>
      <c r="AM412" s="10">
        <v>0</v>
      </c>
      <c r="AN412" s="10">
        <v>0</v>
      </c>
      <c r="AO412" s="10">
        <v>0</v>
      </c>
      <c r="AP412" s="16">
        <f t="shared" si="7"/>
        <v>74479.26082540123</v>
      </c>
    </row>
    <row r="413" spans="1:42" x14ac:dyDescent="0.25">
      <c r="A413" s="6" t="s">
        <v>34</v>
      </c>
      <c r="B413" s="6" t="s">
        <v>18</v>
      </c>
      <c r="C413" s="6" t="s">
        <v>62</v>
      </c>
      <c r="D413" s="7" t="s">
        <v>63</v>
      </c>
      <c r="E413" s="7" t="s">
        <v>21</v>
      </c>
      <c r="F413" s="7" t="s">
        <v>64</v>
      </c>
      <c r="G413" s="7" t="s">
        <v>23</v>
      </c>
      <c r="H413" s="7" t="s">
        <v>71</v>
      </c>
      <c r="I413" s="6" t="s">
        <v>66</v>
      </c>
      <c r="J413" s="6"/>
      <c r="K413" s="6" t="s">
        <v>212</v>
      </c>
      <c r="L413" s="6" t="s">
        <v>213</v>
      </c>
      <c r="M413" s="10">
        <v>0</v>
      </c>
      <c r="N413" s="10">
        <v>0</v>
      </c>
      <c r="O413" s="10">
        <v>144395.73124575612</v>
      </c>
      <c r="P413" s="10">
        <v>144395.73124575612</v>
      </c>
      <c r="Q413" s="10">
        <v>144395.73124575612</v>
      </c>
      <c r="R413" s="10">
        <v>0</v>
      </c>
      <c r="S413" s="10">
        <v>0</v>
      </c>
      <c r="T413" s="10">
        <v>0</v>
      </c>
      <c r="U413" s="10">
        <v>0</v>
      </c>
      <c r="V413" s="10">
        <v>26046.688820951527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0</v>
      </c>
      <c r="AG413" s="10">
        <v>0</v>
      </c>
      <c r="AH413" s="10">
        <v>0</v>
      </c>
      <c r="AI413" s="10">
        <v>0</v>
      </c>
      <c r="AJ413" s="10">
        <v>0</v>
      </c>
      <c r="AK413" s="10">
        <v>459233.88255821989</v>
      </c>
      <c r="AL413" s="10">
        <v>0</v>
      </c>
      <c r="AM413" s="10">
        <v>0</v>
      </c>
      <c r="AN413" s="10">
        <v>0</v>
      </c>
      <c r="AO413" s="10">
        <v>0</v>
      </c>
      <c r="AP413" s="16">
        <f t="shared" si="7"/>
        <v>459233.88255821989</v>
      </c>
    </row>
    <row r="414" spans="1:42" x14ac:dyDescent="0.25">
      <c r="A414" s="6" t="s">
        <v>28</v>
      </c>
      <c r="B414" s="6" t="s">
        <v>18</v>
      </c>
      <c r="C414" s="6" t="s">
        <v>62</v>
      </c>
      <c r="D414" s="7" t="s">
        <v>63</v>
      </c>
      <c r="E414" s="7" t="s">
        <v>21</v>
      </c>
      <c r="F414" s="7" t="s">
        <v>64</v>
      </c>
      <c r="G414" s="7" t="s">
        <v>23</v>
      </c>
      <c r="H414" s="7" t="s">
        <v>65</v>
      </c>
      <c r="I414" s="6" t="s">
        <v>66</v>
      </c>
      <c r="J414" s="6"/>
      <c r="K414" s="6" t="s">
        <v>212</v>
      </c>
      <c r="L414" s="6" t="s">
        <v>213</v>
      </c>
      <c r="M414" s="10">
        <v>0</v>
      </c>
      <c r="N414" s="10">
        <v>0</v>
      </c>
      <c r="O414" s="10">
        <v>229674.81978338712</v>
      </c>
      <c r="P414" s="10">
        <v>229674.81978338712</v>
      </c>
      <c r="Q414" s="10">
        <v>229674.81978338712</v>
      </c>
      <c r="R414" s="10">
        <v>0</v>
      </c>
      <c r="S414" s="10">
        <v>0</v>
      </c>
      <c r="T414" s="10">
        <v>0</v>
      </c>
      <c r="U414" s="10">
        <v>0</v>
      </c>
      <c r="V414" s="10">
        <v>41429.677362184382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  <c r="AG414" s="10">
        <v>0</v>
      </c>
      <c r="AH414" s="10">
        <v>0</v>
      </c>
      <c r="AI414" s="10">
        <v>0</v>
      </c>
      <c r="AJ414" s="10">
        <v>0</v>
      </c>
      <c r="AK414" s="10">
        <v>730454.13671234576</v>
      </c>
      <c r="AL414" s="10">
        <v>0</v>
      </c>
      <c r="AM414" s="10">
        <v>0</v>
      </c>
      <c r="AN414" s="10">
        <v>0</v>
      </c>
      <c r="AO414" s="10">
        <v>0</v>
      </c>
      <c r="AP414" s="16">
        <f t="shared" si="7"/>
        <v>730454.13671234576</v>
      </c>
    </row>
    <row r="415" spans="1:42" x14ac:dyDescent="0.25">
      <c r="A415" s="6" t="s">
        <v>28</v>
      </c>
      <c r="B415" s="6" t="s">
        <v>18</v>
      </c>
      <c r="C415" s="6" t="s">
        <v>19</v>
      </c>
      <c r="D415" s="7" t="s">
        <v>20</v>
      </c>
      <c r="E415" s="7" t="s">
        <v>21</v>
      </c>
      <c r="F415" s="7" t="s">
        <v>22</v>
      </c>
      <c r="G415" s="7" t="s">
        <v>23</v>
      </c>
      <c r="H415" s="7" t="s">
        <v>29</v>
      </c>
      <c r="I415" s="6" t="s">
        <v>25</v>
      </c>
      <c r="J415" s="6"/>
      <c r="K415" s="6" t="s">
        <v>214</v>
      </c>
      <c r="L415" s="6" t="s">
        <v>215</v>
      </c>
      <c r="M415" s="10">
        <v>179852.13569532658</v>
      </c>
      <c r="N415" s="10">
        <v>166017.35602645532</v>
      </c>
      <c r="O415" s="10">
        <v>166017.35602645532</v>
      </c>
      <c r="P415" s="10">
        <v>166017.35602645532</v>
      </c>
      <c r="Q415" s="10">
        <v>14987.677974610546</v>
      </c>
      <c r="R415" s="10">
        <v>13834.779668871277</v>
      </c>
      <c r="S415" s="10">
        <v>13834.779668871277</v>
      </c>
      <c r="T415" s="10">
        <v>13834.779668871277</v>
      </c>
      <c r="U415" s="10">
        <v>1248.9731645508789</v>
      </c>
      <c r="V415" s="10">
        <v>1152.8983057392732</v>
      </c>
      <c r="W415" s="10">
        <v>1152.8983057392732</v>
      </c>
      <c r="X415" s="10">
        <v>1152.8983057392732</v>
      </c>
      <c r="Y415" s="10">
        <v>166017.35602645532</v>
      </c>
      <c r="Z415" s="10">
        <v>166017.35602645532</v>
      </c>
      <c r="AA415" s="10">
        <v>166017.35602645532</v>
      </c>
      <c r="AB415" s="10">
        <v>14987.677974610546</v>
      </c>
      <c r="AC415" s="10">
        <v>13834.779668871277</v>
      </c>
      <c r="AD415" s="10">
        <v>13834.779668871277</v>
      </c>
      <c r="AE415" s="10">
        <v>13834.779668871277</v>
      </c>
      <c r="AF415" s="10">
        <v>1248.9731645508789</v>
      </c>
      <c r="AG415" s="10">
        <v>1152.8983057392732</v>
      </c>
      <c r="AH415" s="10">
        <v>1152.8983057392732</v>
      </c>
      <c r="AI415" s="10">
        <v>1152.8983057392732</v>
      </c>
      <c r="AJ415" s="10">
        <v>104.08109704590657</v>
      </c>
      <c r="AK415" s="10">
        <v>739103.88883768546</v>
      </c>
      <c r="AL415" s="10">
        <v>559355.83423940476</v>
      </c>
      <c r="AM415" s="10">
        <v>1992208.272317464</v>
      </c>
      <c r="AN415" s="10">
        <v>1992208.272317464</v>
      </c>
      <c r="AO415" s="10">
        <v>1992208.272317464</v>
      </c>
      <c r="AP415" s="16">
        <f t="shared" si="7"/>
        <v>7275084.5400294811</v>
      </c>
    </row>
    <row r="416" spans="1:42" x14ac:dyDescent="0.25">
      <c r="A416" s="6" t="s">
        <v>30</v>
      </c>
      <c r="B416" s="6" t="s">
        <v>18</v>
      </c>
      <c r="C416" s="6" t="s">
        <v>19</v>
      </c>
      <c r="D416" s="7" t="s">
        <v>20</v>
      </c>
      <c r="E416" s="7" t="s">
        <v>21</v>
      </c>
      <c r="F416" s="7" t="s">
        <v>22</v>
      </c>
      <c r="G416" s="7" t="s">
        <v>23</v>
      </c>
      <c r="H416" s="7" t="s">
        <v>31</v>
      </c>
      <c r="I416" s="6" t="s">
        <v>25</v>
      </c>
      <c r="J416" s="6"/>
      <c r="K416" s="6" t="s">
        <v>214</v>
      </c>
      <c r="L416" s="6" t="s">
        <v>215</v>
      </c>
      <c r="M416" s="10">
        <v>70426.178485138138</v>
      </c>
      <c r="N416" s="10">
        <v>65008.780140127492</v>
      </c>
      <c r="O416" s="10">
        <v>65008.780140127492</v>
      </c>
      <c r="P416" s="10">
        <v>65008.780140127492</v>
      </c>
      <c r="Q416" s="10">
        <v>5868.8482070948439</v>
      </c>
      <c r="R416" s="10">
        <v>5417.3983450106243</v>
      </c>
      <c r="S416" s="10">
        <v>5417.3983450106243</v>
      </c>
      <c r="T416" s="10">
        <v>5417.3983450106243</v>
      </c>
      <c r="U416" s="10">
        <v>489.0706839245704</v>
      </c>
      <c r="V416" s="10">
        <v>451.44986208421869</v>
      </c>
      <c r="W416" s="10">
        <v>451.44986208421869</v>
      </c>
      <c r="X416" s="10">
        <v>451.44986208421869</v>
      </c>
      <c r="Y416" s="10">
        <v>65008.780140127492</v>
      </c>
      <c r="Z416" s="10">
        <v>65008.780140127492</v>
      </c>
      <c r="AA416" s="10">
        <v>65008.780140127492</v>
      </c>
      <c r="AB416" s="10">
        <v>5868.8482070948439</v>
      </c>
      <c r="AC416" s="10">
        <v>5417.3983450106243</v>
      </c>
      <c r="AD416" s="10">
        <v>5417.3983450106243</v>
      </c>
      <c r="AE416" s="10">
        <v>5417.3983450106243</v>
      </c>
      <c r="AF416" s="10">
        <v>489.0706839245704</v>
      </c>
      <c r="AG416" s="10">
        <v>451.44986208421869</v>
      </c>
      <c r="AH416" s="10">
        <v>451.44986208421869</v>
      </c>
      <c r="AI416" s="10">
        <v>451.44986208421869</v>
      </c>
      <c r="AJ416" s="10">
        <v>40.755890327047538</v>
      </c>
      <c r="AK416" s="10">
        <v>289416.9824178245</v>
      </c>
      <c r="AL416" s="10">
        <v>219031.55982301346</v>
      </c>
      <c r="AM416" s="10">
        <v>780105.3616815299</v>
      </c>
      <c r="AN416" s="10">
        <v>780105.3616815299</v>
      </c>
      <c r="AO416" s="10">
        <v>780105.3616815299</v>
      </c>
      <c r="AP416" s="16">
        <f t="shared" si="7"/>
        <v>2848764.6272854274</v>
      </c>
    </row>
    <row r="417" spans="1:42" x14ac:dyDescent="0.25">
      <c r="A417" s="6" t="s">
        <v>32</v>
      </c>
      <c r="B417" s="6" t="s">
        <v>18</v>
      </c>
      <c r="C417" s="6" t="s">
        <v>19</v>
      </c>
      <c r="D417" s="7" t="s">
        <v>20</v>
      </c>
      <c r="E417" s="7" t="s">
        <v>21</v>
      </c>
      <c r="F417" s="7" t="s">
        <v>22</v>
      </c>
      <c r="G417" s="7" t="s">
        <v>23</v>
      </c>
      <c r="H417" s="7" t="s">
        <v>33</v>
      </c>
      <c r="I417" s="6" t="s">
        <v>25</v>
      </c>
      <c r="J417" s="6"/>
      <c r="K417" s="6" t="s">
        <v>214</v>
      </c>
      <c r="L417" s="6" t="s">
        <v>215</v>
      </c>
      <c r="M417" s="10">
        <v>18338.253088351092</v>
      </c>
      <c r="N417" s="10">
        <v>16927.618235401002</v>
      </c>
      <c r="O417" s="10">
        <v>16927.618235401002</v>
      </c>
      <c r="P417" s="10">
        <v>16927.618235401002</v>
      </c>
      <c r="Q417" s="10">
        <v>1528.1877573625911</v>
      </c>
      <c r="R417" s="10">
        <v>1410.6348529500835</v>
      </c>
      <c r="S417" s="10">
        <v>1410.6348529500835</v>
      </c>
      <c r="T417" s="10">
        <v>1410.6348529500835</v>
      </c>
      <c r="U417" s="10">
        <v>127.34897978021593</v>
      </c>
      <c r="V417" s="10">
        <v>117.55290441250696</v>
      </c>
      <c r="W417" s="10">
        <v>117.55290441250696</v>
      </c>
      <c r="X417" s="10">
        <v>117.55290441250696</v>
      </c>
      <c r="Y417" s="10">
        <v>16927.618235401002</v>
      </c>
      <c r="Z417" s="10">
        <v>16927.618235401002</v>
      </c>
      <c r="AA417" s="10">
        <v>16927.618235401002</v>
      </c>
      <c r="AB417" s="10">
        <v>1528.1877573625911</v>
      </c>
      <c r="AC417" s="10">
        <v>1410.6348529500835</v>
      </c>
      <c r="AD417" s="10">
        <v>1410.6348529500835</v>
      </c>
      <c r="AE417" s="10">
        <v>1410.6348529500835</v>
      </c>
      <c r="AF417" s="10">
        <v>127.34897978021593</v>
      </c>
      <c r="AG417" s="10">
        <v>117.55290441250696</v>
      </c>
      <c r="AH417" s="10">
        <v>117.55290441250696</v>
      </c>
      <c r="AI417" s="10">
        <v>117.55290441250696</v>
      </c>
      <c r="AJ417" s="10">
        <v>10.61241498168466</v>
      </c>
      <c r="AK417" s="10">
        <v>75361.20780378468</v>
      </c>
      <c r="AL417" s="10">
        <v>57033.567130415278</v>
      </c>
      <c r="AM417" s="10">
        <v>203131.41882481205</v>
      </c>
      <c r="AN417" s="10">
        <v>203131.41882481205</v>
      </c>
      <c r="AO417" s="10">
        <v>203131.41882481205</v>
      </c>
      <c r="AP417" s="16">
        <f t="shared" si="7"/>
        <v>741789.03140863613</v>
      </c>
    </row>
    <row r="418" spans="1:42" x14ac:dyDescent="0.25">
      <c r="A418" s="6" t="s">
        <v>34</v>
      </c>
      <c r="B418" s="6" t="s">
        <v>18</v>
      </c>
      <c r="C418" s="6" t="s">
        <v>19</v>
      </c>
      <c r="D418" s="7" t="s">
        <v>20</v>
      </c>
      <c r="E418" s="7" t="s">
        <v>21</v>
      </c>
      <c r="F418" s="7" t="s">
        <v>22</v>
      </c>
      <c r="G418" s="7" t="s">
        <v>23</v>
      </c>
      <c r="H418" s="7" t="s">
        <v>35</v>
      </c>
      <c r="I418" s="6" t="s">
        <v>25</v>
      </c>
      <c r="J418" s="6"/>
      <c r="K418" s="6" t="s">
        <v>214</v>
      </c>
      <c r="L418" s="6" t="s">
        <v>215</v>
      </c>
      <c r="M418" s="10">
        <v>113072.38941993179</v>
      </c>
      <c r="N418" s="10">
        <v>104374.51331070627</v>
      </c>
      <c r="O418" s="10">
        <v>104374.51331070627</v>
      </c>
      <c r="P418" s="10">
        <v>104374.51331070627</v>
      </c>
      <c r="Q418" s="10">
        <v>9422.6991183276496</v>
      </c>
      <c r="R418" s="10">
        <v>8697.8761092255227</v>
      </c>
      <c r="S418" s="10">
        <v>8697.8761092255227</v>
      </c>
      <c r="T418" s="10">
        <v>8697.8761092255227</v>
      </c>
      <c r="U418" s="10">
        <v>785.22492652730409</v>
      </c>
      <c r="V418" s="10">
        <v>724.82300910212689</v>
      </c>
      <c r="W418" s="10">
        <v>724.82300910212689</v>
      </c>
      <c r="X418" s="10">
        <v>724.82300910212689</v>
      </c>
      <c r="Y418" s="10">
        <v>104374.51331070627</v>
      </c>
      <c r="Z418" s="10">
        <v>104374.51331070627</v>
      </c>
      <c r="AA418" s="10">
        <v>104374.51331070627</v>
      </c>
      <c r="AB418" s="10">
        <v>9422.6991183276496</v>
      </c>
      <c r="AC418" s="10">
        <v>8697.8761092255227</v>
      </c>
      <c r="AD418" s="10">
        <v>8697.8761092255227</v>
      </c>
      <c r="AE418" s="10">
        <v>8697.8761092255227</v>
      </c>
      <c r="AF418" s="10">
        <v>785.22492652730409</v>
      </c>
      <c r="AG418" s="10">
        <v>724.82300910212689</v>
      </c>
      <c r="AH418" s="10">
        <v>724.82300910212689</v>
      </c>
      <c r="AI418" s="10">
        <v>724.82300910212689</v>
      </c>
      <c r="AJ418" s="10">
        <v>65.435410543942012</v>
      </c>
      <c r="AK418" s="10">
        <v>464671.95075188862</v>
      </c>
      <c r="AL418" s="10">
        <v>351664.99674250075</v>
      </c>
      <c r="AM418" s="10">
        <v>1252494.1597284751</v>
      </c>
      <c r="AN418" s="10">
        <v>1252494.1597284751</v>
      </c>
      <c r="AO418" s="10">
        <v>1252494.1597284751</v>
      </c>
      <c r="AP418" s="16">
        <f t="shared" si="7"/>
        <v>4573819.4266798142</v>
      </c>
    </row>
    <row r="419" spans="1:42" x14ac:dyDescent="0.25">
      <c r="A419" s="6" t="s">
        <v>17</v>
      </c>
      <c r="B419" s="6" t="s">
        <v>18</v>
      </c>
      <c r="C419" s="6" t="s">
        <v>19</v>
      </c>
      <c r="D419" s="7" t="s">
        <v>20</v>
      </c>
      <c r="E419" s="7" t="s">
        <v>21</v>
      </c>
      <c r="F419" s="7" t="s">
        <v>22</v>
      </c>
      <c r="G419" s="7" t="s">
        <v>23</v>
      </c>
      <c r="H419" s="7" t="s">
        <v>24</v>
      </c>
      <c r="I419" s="6" t="s">
        <v>25</v>
      </c>
      <c r="J419" s="6"/>
      <c r="K419" s="6" t="s">
        <v>216</v>
      </c>
      <c r="L419" s="6" t="s">
        <v>217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68.270475590056719</v>
      </c>
      <c r="AE419" s="10">
        <v>310.76961633570232</v>
      </c>
      <c r="AF419" s="10">
        <v>310.76961633570232</v>
      </c>
      <c r="AG419" s="10">
        <v>310.76961633570232</v>
      </c>
      <c r="AH419" s="10">
        <v>310.76961633570232</v>
      </c>
      <c r="AI419" s="10">
        <v>310.76961633570232</v>
      </c>
      <c r="AJ419" s="10">
        <v>310.76961633570232</v>
      </c>
      <c r="AK419" s="10">
        <v>0</v>
      </c>
      <c r="AL419" s="10">
        <v>1932.8881736042706</v>
      </c>
      <c r="AM419" s="10">
        <v>0</v>
      </c>
      <c r="AN419" s="10">
        <v>0</v>
      </c>
      <c r="AO419" s="10">
        <v>0</v>
      </c>
      <c r="AP419" s="16">
        <f t="shared" si="7"/>
        <v>1932.8881736042706</v>
      </c>
    </row>
    <row r="420" spans="1:42" x14ac:dyDescent="0.25">
      <c r="A420" s="6" t="s">
        <v>28</v>
      </c>
      <c r="B420" s="6" t="s">
        <v>18</v>
      </c>
      <c r="C420" s="6" t="s">
        <v>19</v>
      </c>
      <c r="D420" s="7" t="s">
        <v>20</v>
      </c>
      <c r="E420" s="7" t="s">
        <v>21</v>
      </c>
      <c r="F420" s="7" t="s">
        <v>22</v>
      </c>
      <c r="G420" s="7" t="s">
        <v>23</v>
      </c>
      <c r="H420" s="7" t="s">
        <v>29</v>
      </c>
      <c r="I420" s="6" t="s">
        <v>25</v>
      </c>
      <c r="J420" s="6"/>
      <c r="K420" s="6" t="s">
        <v>216</v>
      </c>
      <c r="L420" s="6" t="s">
        <v>217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115852.29492085756</v>
      </c>
      <c r="AE420" s="10">
        <v>527363.73861454776</v>
      </c>
      <c r="AF420" s="10">
        <v>527363.73861454776</v>
      </c>
      <c r="AG420" s="10">
        <v>527363.73861454776</v>
      </c>
      <c r="AH420" s="10">
        <v>527363.73861454776</v>
      </c>
      <c r="AI420" s="10">
        <v>527363.73861454776</v>
      </c>
      <c r="AJ420" s="10">
        <v>527363.73861454776</v>
      </c>
      <c r="AK420" s="10">
        <v>0</v>
      </c>
      <c r="AL420" s="10">
        <v>3280034.7266081451</v>
      </c>
      <c r="AM420" s="10">
        <v>0</v>
      </c>
      <c r="AN420" s="10">
        <v>0</v>
      </c>
      <c r="AO420" s="10">
        <v>0</v>
      </c>
      <c r="AP420" s="16">
        <f t="shared" si="7"/>
        <v>3280034.7266081451</v>
      </c>
    </row>
    <row r="421" spans="1:42" x14ac:dyDescent="0.25">
      <c r="A421" s="6" t="s">
        <v>30</v>
      </c>
      <c r="B421" s="6" t="s">
        <v>18</v>
      </c>
      <c r="C421" s="6" t="s">
        <v>19</v>
      </c>
      <c r="D421" s="7" t="s">
        <v>20</v>
      </c>
      <c r="E421" s="7" t="s">
        <v>21</v>
      </c>
      <c r="F421" s="7" t="s">
        <v>22</v>
      </c>
      <c r="G421" s="7" t="s">
        <v>23</v>
      </c>
      <c r="H421" s="7" t="s">
        <v>31</v>
      </c>
      <c r="I421" s="6" t="s">
        <v>25</v>
      </c>
      <c r="J421" s="6"/>
      <c r="K421" s="6" t="s">
        <v>216</v>
      </c>
      <c r="L421" s="6" t="s">
        <v>217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45026.876081378774</v>
      </c>
      <c r="AE421" s="10">
        <v>204963.93036176983</v>
      </c>
      <c r="AF421" s="10">
        <v>204963.93036176983</v>
      </c>
      <c r="AG421" s="10">
        <v>204963.93036176983</v>
      </c>
      <c r="AH421" s="10">
        <v>204963.93036176983</v>
      </c>
      <c r="AI421" s="10">
        <v>204963.93036176983</v>
      </c>
      <c r="AJ421" s="10">
        <v>204963.93036176983</v>
      </c>
      <c r="AK421" s="10">
        <v>0</v>
      </c>
      <c r="AL421" s="10">
        <v>1274810.4582519978</v>
      </c>
      <c r="AM421" s="10">
        <v>0</v>
      </c>
      <c r="AN421" s="10">
        <v>0</v>
      </c>
      <c r="AO421" s="10">
        <v>0</v>
      </c>
      <c r="AP421" s="16">
        <f t="shared" si="7"/>
        <v>1274810.4582519978</v>
      </c>
    </row>
    <row r="422" spans="1:42" x14ac:dyDescent="0.25">
      <c r="A422" s="6" t="s">
        <v>32</v>
      </c>
      <c r="B422" s="6" t="s">
        <v>18</v>
      </c>
      <c r="C422" s="6" t="s">
        <v>19</v>
      </c>
      <c r="D422" s="7" t="s">
        <v>20</v>
      </c>
      <c r="E422" s="7" t="s">
        <v>21</v>
      </c>
      <c r="F422" s="7" t="s">
        <v>22</v>
      </c>
      <c r="G422" s="7" t="s">
        <v>23</v>
      </c>
      <c r="H422" s="7" t="s">
        <v>33</v>
      </c>
      <c r="I422" s="6" t="s">
        <v>25</v>
      </c>
      <c r="J422" s="6"/>
      <c r="K422" s="6" t="s">
        <v>216</v>
      </c>
      <c r="L422" s="6" t="s">
        <v>217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11714.995255529137</v>
      </c>
      <c r="AE422" s="10">
        <v>53327.072200235387</v>
      </c>
      <c r="AF422" s="10">
        <v>53327.072200235387</v>
      </c>
      <c r="AG422" s="10">
        <v>53327.072200235387</v>
      </c>
      <c r="AH422" s="10">
        <v>53327.072200235387</v>
      </c>
      <c r="AI422" s="10">
        <v>53327.072200235387</v>
      </c>
      <c r="AJ422" s="10">
        <v>53327.072200235387</v>
      </c>
      <c r="AK422" s="10">
        <v>0</v>
      </c>
      <c r="AL422" s="10">
        <v>331677.42845694144</v>
      </c>
      <c r="AM422" s="10">
        <v>0</v>
      </c>
      <c r="AN422" s="10">
        <v>0</v>
      </c>
      <c r="AO422" s="10">
        <v>0</v>
      </c>
      <c r="AP422" s="16">
        <f t="shared" si="7"/>
        <v>331677.42845694144</v>
      </c>
    </row>
    <row r="423" spans="1:42" x14ac:dyDescent="0.25">
      <c r="A423" s="6" t="s">
        <v>34</v>
      </c>
      <c r="B423" s="6" t="s">
        <v>18</v>
      </c>
      <c r="C423" s="6" t="s">
        <v>19</v>
      </c>
      <c r="D423" s="7" t="s">
        <v>20</v>
      </c>
      <c r="E423" s="7" t="s">
        <v>21</v>
      </c>
      <c r="F423" s="7" t="s">
        <v>22</v>
      </c>
      <c r="G423" s="7" t="s">
        <v>23</v>
      </c>
      <c r="H423" s="7" t="s">
        <v>35</v>
      </c>
      <c r="I423" s="6" t="s">
        <v>25</v>
      </c>
      <c r="J423" s="6"/>
      <c r="K423" s="6" t="s">
        <v>216</v>
      </c>
      <c r="L423" s="6" t="s">
        <v>217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76378.440884992029</v>
      </c>
      <c r="AE423" s="10">
        <v>347677.36074780097</v>
      </c>
      <c r="AF423" s="10">
        <v>347677.36074780097</v>
      </c>
      <c r="AG423" s="10">
        <v>347677.36074780097</v>
      </c>
      <c r="AH423" s="10">
        <v>347677.36074780097</v>
      </c>
      <c r="AI423" s="10">
        <v>347677.36074780097</v>
      </c>
      <c r="AJ423" s="10">
        <v>347677.36074780097</v>
      </c>
      <c r="AK423" s="10">
        <v>0</v>
      </c>
      <c r="AL423" s="10">
        <v>2162442.6053717984</v>
      </c>
      <c r="AM423" s="10">
        <v>0</v>
      </c>
      <c r="AN423" s="10">
        <v>0</v>
      </c>
      <c r="AO423" s="10">
        <v>0</v>
      </c>
      <c r="AP423" s="16">
        <f t="shared" si="7"/>
        <v>2162442.6053717984</v>
      </c>
    </row>
    <row r="424" spans="1:42" x14ac:dyDescent="0.25">
      <c r="A424" s="6" t="s">
        <v>36</v>
      </c>
      <c r="B424" s="6" t="s">
        <v>18</v>
      </c>
      <c r="C424" s="6" t="s">
        <v>19</v>
      </c>
      <c r="D424" s="7" t="s">
        <v>20</v>
      </c>
      <c r="E424" s="7" t="s">
        <v>21</v>
      </c>
      <c r="F424" s="7" t="s">
        <v>22</v>
      </c>
      <c r="G424" s="7" t="s">
        <v>23</v>
      </c>
      <c r="H424" s="7" t="s">
        <v>37</v>
      </c>
      <c r="I424" s="6" t="s">
        <v>25</v>
      </c>
      <c r="J424" s="6"/>
      <c r="K424" s="6" t="s">
        <v>216</v>
      </c>
      <c r="L424" s="6" t="s">
        <v>217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11626.530759539066</v>
      </c>
      <c r="AE424" s="10">
        <v>52924.378689745638</v>
      </c>
      <c r="AF424" s="10">
        <v>52924.378689745638</v>
      </c>
      <c r="AG424" s="10">
        <v>52924.378689745638</v>
      </c>
      <c r="AH424" s="10">
        <v>52924.378689745638</v>
      </c>
      <c r="AI424" s="10">
        <v>52924.378689745638</v>
      </c>
      <c r="AJ424" s="10">
        <v>52924.378689745638</v>
      </c>
      <c r="AK424" s="10">
        <v>0</v>
      </c>
      <c r="AL424" s="10">
        <v>329172.80289801292</v>
      </c>
      <c r="AM424" s="10">
        <v>0</v>
      </c>
      <c r="AN424" s="10">
        <v>0</v>
      </c>
      <c r="AO424" s="10">
        <v>0</v>
      </c>
      <c r="AP424" s="16">
        <f t="shared" si="7"/>
        <v>329172.80289801292</v>
      </c>
    </row>
    <row r="425" spans="1:42" x14ac:dyDescent="0.25">
      <c r="A425" s="6" t="s">
        <v>38</v>
      </c>
      <c r="B425" s="6" t="s">
        <v>18</v>
      </c>
      <c r="C425" s="6" t="s">
        <v>19</v>
      </c>
      <c r="D425" s="7" t="s">
        <v>20</v>
      </c>
      <c r="E425" s="7" t="s">
        <v>21</v>
      </c>
      <c r="F425" s="7" t="s">
        <v>22</v>
      </c>
      <c r="G425" s="7" t="s">
        <v>23</v>
      </c>
      <c r="H425" s="7" t="s">
        <v>39</v>
      </c>
      <c r="I425" s="6" t="s">
        <v>25</v>
      </c>
      <c r="J425" s="6"/>
      <c r="K425" s="6" t="s">
        <v>216</v>
      </c>
      <c r="L425" s="6" t="s">
        <v>217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863.36789654813879</v>
      </c>
      <c r="AE425" s="10">
        <v>3930.0811609682896</v>
      </c>
      <c r="AF425" s="10">
        <v>3930.0811609682896</v>
      </c>
      <c r="AG425" s="10">
        <v>3930.0811609682896</v>
      </c>
      <c r="AH425" s="10">
        <v>3930.0811609682896</v>
      </c>
      <c r="AI425" s="10">
        <v>3930.0811609682896</v>
      </c>
      <c r="AJ425" s="10">
        <v>3930.0811609682896</v>
      </c>
      <c r="AK425" s="10">
        <v>0</v>
      </c>
      <c r="AL425" s="10">
        <v>24443.854862357875</v>
      </c>
      <c r="AM425" s="10">
        <v>0</v>
      </c>
      <c r="AN425" s="10">
        <v>0</v>
      </c>
      <c r="AO425" s="10">
        <v>0</v>
      </c>
      <c r="AP425" s="16">
        <f t="shared" si="7"/>
        <v>24443.854862357875</v>
      </c>
    </row>
    <row r="426" spans="1:42" x14ac:dyDescent="0.25">
      <c r="A426" s="6" t="s">
        <v>40</v>
      </c>
      <c r="B426" s="6" t="s">
        <v>18</v>
      </c>
      <c r="C426" s="6" t="s">
        <v>19</v>
      </c>
      <c r="D426" s="7" t="s">
        <v>20</v>
      </c>
      <c r="E426" s="7" t="s">
        <v>21</v>
      </c>
      <c r="F426" s="7" t="s">
        <v>22</v>
      </c>
      <c r="G426" s="7" t="s">
        <v>23</v>
      </c>
      <c r="H426" s="7" t="s">
        <v>41</v>
      </c>
      <c r="I426" s="6" t="s">
        <v>25</v>
      </c>
      <c r="J426" s="6"/>
      <c r="K426" s="6" t="s">
        <v>216</v>
      </c>
      <c r="L426" s="6" t="s">
        <v>217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90.347568790909293</v>
      </c>
      <c r="AE426" s="10">
        <v>411.26532439307749</v>
      </c>
      <c r="AF426" s="10">
        <v>411.26532439307749</v>
      </c>
      <c r="AG426" s="10">
        <v>411.26532439307749</v>
      </c>
      <c r="AH426" s="10">
        <v>411.26532439307749</v>
      </c>
      <c r="AI426" s="10">
        <v>411.26532439307749</v>
      </c>
      <c r="AJ426" s="10">
        <v>411.26532439307749</v>
      </c>
      <c r="AK426" s="10">
        <v>0</v>
      </c>
      <c r="AL426" s="10">
        <v>2557.9395151493741</v>
      </c>
      <c r="AM426" s="10">
        <v>0</v>
      </c>
      <c r="AN426" s="10">
        <v>0</v>
      </c>
      <c r="AO426" s="10">
        <v>0</v>
      </c>
      <c r="AP426" s="16">
        <f t="shared" si="7"/>
        <v>2557.9395151493741</v>
      </c>
    </row>
    <row r="427" spans="1:42" x14ac:dyDescent="0.25">
      <c r="A427" s="6" t="s">
        <v>42</v>
      </c>
      <c r="B427" s="6" t="s">
        <v>18</v>
      </c>
      <c r="C427" s="6" t="s">
        <v>19</v>
      </c>
      <c r="D427" s="7" t="s">
        <v>20</v>
      </c>
      <c r="E427" s="7" t="s">
        <v>21</v>
      </c>
      <c r="F427" s="7" t="s">
        <v>22</v>
      </c>
      <c r="G427" s="7" t="s">
        <v>23</v>
      </c>
      <c r="H427" s="7" t="s">
        <v>43</v>
      </c>
      <c r="I427" s="6" t="s">
        <v>25</v>
      </c>
      <c r="J427" s="6"/>
      <c r="K427" s="6" t="s">
        <v>216</v>
      </c>
      <c r="L427" s="6" t="s">
        <v>217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4633.7309579955545</v>
      </c>
      <c r="AE427" s="10">
        <v>21092.906993442379</v>
      </c>
      <c r="AF427" s="10">
        <v>21092.906993442379</v>
      </c>
      <c r="AG427" s="10">
        <v>21092.906993442379</v>
      </c>
      <c r="AH427" s="10">
        <v>21092.906993442379</v>
      </c>
      <c r="AI427" s="10">
        <v>21092.906993442379</v>
      </c>
      <c r="AJ427" s="10">
        <v>21092.906993442379</v>
      </c>
      <c r="AK427" s="10">
        <v>0</v>
      </c>
      <c r="AL427" s="10">
        <v>131191.1729186498</v>
      </c>
      <c r="AM427" s="10">
        <v>0</v>
      </c>
      <c r="AN427" s="10">
        <v>0</v>
      </c>
      <c r="AO427" s="10">
        <v>0</v>
      </c>
      <c r="AP427" s="16">
        <f t="shared" si="7"/>
        <v>131191.1729186498</v>
      </c>
    </row>
    <row r="428" spans="1:42" x14ac:dyDescent="0.25">
      <c r="A428" s="6" t="s">
        <v>17</v>
      </c>
      <c r="B428" s="6" t="s">
        <v>18</v>
      </c>
      <c r="C428" s="6" t="s">
        <v>19</v>
      </c>
      <c r="D428" s="7" t="s">
        <v>20</v>
      </c>
      <c r="E428" s="7" t="s">
        <v>21</v>
      </c>
      <c r="F428" s="7" t="s">
        <v>22</v>
      </c>
      <c r="G428" s="7" t="s">
        <v>23</v>
      </c>
      <c r="H428" s="7" t="s">
        <v>24</v>
      </c>
      <c r="I428" s="6" t="s">
        <v>25</v>
      </c>
      <c r="J428" s="6"/>
      <c r="K428" s="6" t="s">
        <v>218</v>
      </c>
      <c r="L428" s="6" t="s">
        <v>219</v>
      </c>
      <c r="M428" s="10">
        <v>0</v>
      </c>
      <c r="N428" s="10">
        <v>0</v>
      </c>
      <c r="O428" s="10">
        <v>98.160954325501507</v>
      </c>
      <c r="P428" s="10">
        <v>98.160954325501507</v>
      </c>
      <c r="Q428" s="10">
        <v>98.160954325501507</v>
      </c>
      <c r="R428" s="10">
        <v>98.160954325501507</v>
      </c>
      <c r="S428" s="10">
        <v>98.160954325501507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10">
        <v>0</v>
      </c>
      <c r="AG428" s="10">
        <v>0</v>
      </c>
      <c r="AH428" s="10">
        <v>0</v>
      </c>
      <c r="AI428" s="10">
        <v>0</v>
      </c>
      <c r="AJ428" s="10">
        <v>0</v>
      </c>
      <c r="AK428" s="10">
        <v>490.80477162750753</v>
      </c>
      <c r="AL428" s="10">
        <v>0</v>
      </c>
      <c r="AM428" s="10">
        <v>0</v>
      </c>
      <c r="AN428" s="10">
        <v>0</v>
      </c>
      <c r="AO428" s="10">
        <v>0</v>
      </c>
      <c r="AP428" s="16">
        <f t="shared" si="7"/>
        <v>490.80477162750753</v>
      </c>
    </row>
    <row r="429" spans="1:42" x14ac:dyDescent="0.25">
      <c r="A429" s="6" t="s">
        <v>28</v>
      </c>
      <c r="B429" s="6" t="s">
        <v>18</v>
      </c>
      <c r="C429" s="6" t="s">
        <v>19</v>
      </c>
      <c r="D429" s="7" t="s">
        <v>20</v>
      </c>
      <c r="E429" s="7" t="s">
        <v>21</v>
      </c>
      <c r="F429" s="7" t="s">
        <v>22</v>
      </c>
      <c r="G429" s="7" t="s">
        <v>23</v>
      </c>
      <c r="H429" s="7" t="s">
        <v>29</v>
      </c>
      <c r="I429" s="6" t="s">
        <v>25</v>
      </c>
      <c r="J429" s="6"/>
      <c r="K429" s="6" t="s">
        <v>218</v>
      </c>
      <c r="L429" s="6" t="s">
        <v>219</v>
      </c>
      <c r="M429" s="10">
        <v>0</v>
      </c>
      <c r="N429" s="10">
        <v>0</v>
      </c>
      <c r="O429" s="10">
        <v>70326.955246916827</v>
      </c>
      <c r="P429" s="10">
        <v>70326.955246916827</v>
      </c>
      <c r="Q429" s="10">
        <v>70326.955246916827</v>
      </c>
      <c r="R429" s="10">
        <v>70326.955246916827</v>
      </c>
      <c r="S429" s="10">
        <v>70326.955246916827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  <c r="AG429" s="10">
        <v>0</v>
      </c>
      <c r="AH429" s="10">
        <v>0</v>
      </c>
      <c r="AI429" s="10">
        <v>0</v>
      </c>
      <c r="AJ429" s="10">
        <v>0</v>
      </c>
      <c r="AK429" s="10">
        <v>351634.7762345841</v>
      </c>
      <c r="AL429" s="10">
        <v>0</v>
      </c>
      <c r="AM429" s="10">
        <v>0</v>
      </c>
      <c r="AN429" s="10">
        <v>0</v>
      </c>
      <c r="AO429" s="10">
        <v>0</v>
      </c>
      <c r="AP429" s="16">
        <f t="shared" si="7"/>
        <v>351634.7762345841</v>
      </c>
    </row>
    <row r="430" spans="1:42" x14ac:dyDescent="0.25">
      <c r="A430" s="6" t="s">
        <v>30</v>
      </c>
      <c r="B430" s="6" t="s">
        <v>18</v>
      </c>
      <c r="C430" s="6" t="s">
        <v>19</v>
      </c>
      <c r="D430" s="7" t="s">
        <v>20</v>
      </c>
      <c r="E430" s="7" t="s">
        <v>21</v>
      </c>
      <c r="F430" s="7" t="s">
        <v>22</v>
      </c>
      <c r="G430" s="7" t="s">
        <v>23</v>
      </c>
      <c r="H430" s="7" t="s">
        <v>31</v>
      </c>
      <c r="I430" s="6" t="s">
        <v>25</v>
      </c>
      <c r="J430" s="6"/>
      <c r="K430" s="6" t="s">
        <v>220</v>
      </c>
      <c r="L430" s="6" t="s">
        <v>219</v>
      </c>
      <c r="M430" s="10">
        <v>0</v>
      </c>
      <c r="N430" s="10">
        <v>0</v>
      </c>
      <c r="O430" s="10">
        <v>27060.051478826725</v>
      </c>
      <c r="P430" s="10">
        <v>27060.051478826725</v>
      </c>
      <c r="Q430" s="10">
        <v>27060.051478826725</v>
      </c>
      <c r="R430" s="10">
        <v>27060.051478826725</v>
      </c>
      <c r="S430" s="10">
        <v>27060.051478826725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  <c r="AG430" s="10">
        <v>0</v>
      </c>
      <c r="AH430" s="10">
        <v>0</v>
      </c>
      <c r="AI430" s="10">
        <v>0</v>
      </c>
      <c r="AJ430" s="10">
        <v>0</v>
      </c>
      <c r="AK430" s="10">
        <v>135300.2573941336</v>
      </c>
      <c r="AL430" s="10">
        <v>0</v>
      </c>
      <c r="AM430" s="10">
        <v>0</v>
      </c>
      <c r="AN430" s="10">
        <v>0</v>
      </c>
      <c r="AO430" s="10">
        <v>0</v>
      </c>
      <c r="AP430" s="16">
        <f t="shared" si="7"/>
        <v>135300.2573941336</v>
      </c>
    </row>
    <row r="431" spans="1:42" x14ac:dyDescent="0.25">
      <c r="A431" s="6" t="s">
        <v>32</v>
      </c>
      <c r="B431" s="6" t="s">
        <v>18</v>
      </c>
      <c r="C431" s="6" t="s">
        <v>19</v>
      </c>
      <c r="D431" s="7" t="s">
        <v>20</v>
      </c>
      <c r="E431" s="7" t="s">
        <v>21</v>
      </c>
      <c r="F431" s="7" t="s">
        <v>22</v>
      </c>
      <c r="G431" s="7" t="s">
        <v>23</v>
      </c>
      <c r="H431" s="7" t="s">
        <v>33</v>
      </c>
      <c r="I431" s="6" t="s">
        <v>25</v>
      </c>
      <c r="J431" s="6"/>
      <c r="K431" s="6" t="s">
        <v>221</v>
      </c>
      <c r="L431" s="6" t="s">
        <v>219</v>
      </c>
      <c r="M431" s="10">
        <v>0</v>
      </c>
      <c r="N431" s="10">
        <v>0</v>
      </c>
      <c r="O431" s="10">
        <v>7025.185871220282</v>
      </c>
      <c r="P431" s="10">
        <v>7025.185871220282</v>
      </c>
      <c r="Q431" s="10">
        <v>7025.185871220282</v>
      </c>
      <c r="R431" s="10">
        <v>7025.185871220282</v>
      </c>
      <c r="S431" s="10">
        <v>7025.185871220282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10">
        <v>0</v>
      </c>
      <c r="AG431" s="10">
        <v>0</v>
      </c>
      <c r="AH431" s="10">
        <v>0</v>
      </c>
      <c r="AI431" s="10">
        <v>0</v>
      </c>
      <c r="AJ431" s="10">
        <v>0</v>
      </c>
      <c r="AK431" s="10">
        <v>35125.929356101413</v>
      </c>
      <c r="AL431" s="10">
        <v>0</v>
      </c>
      <c r="AM431" s="10">
        <v>0</v>
      </c>
      <c r="AN431" s="10">
        <v>0</v>
      </c>
      <c r="AO431" s="10">
        <v>0</v>
      </c>
      <c r="AP431" s="16">
        <f t="shared" si="7"/>
        <v>35125.929356101413</v>
      </c>
    </row>
    <row r="432" spans="1:42" x14ac:dyDescent="0.25">
      <c r="A432" s="6" t="s">
        <v>34</v>
      </c>
      <c r="B432" s="6" t="s">
        <v>18</v>
      </c>
      <c r="C432" s="6" t="s">
        <v>19</v>
      </c>
      <c r="D432" s="7" t="s">
        <v>20</v>
      </c>
      <c r="E432" s="7" t="s">
        <v>21</v>
      </c>
      <c r="F432" s="7" t="s">
        <v>22</v>
      </c>
      <c r="G432" s="7" t="s">
        <v>23</v>
      </c>
      <c r="H432" s="7" t="s">
        <v>35</v>
      </c>
      <c r="I432" s="6" t="s">
        <v>25</v>
      </c>
      <c r="J432" s="6"/>
      <c r="K432" s="6" t="s">
        <v>220</v>
      </c>
      <c r="L432" s="6" t="s">
        <v>219</v>
      </c>
      <c r="M432" s="10">
        <v>0</v>
      </c>
      <c r="N432" s="10">
        <v>0</v>
      </c>
      <c r="O432" s="10">
        <v>48889.522672912419</v>
      </c>
      <c r="P432" s="10">
        <v>48889.522672912419</v>
      </c>
      <c r="Q432" s="10">
        <v>48889.522672912419</v>
      </c>
      <c r="R432" s="10">
        <v>48889.522672912419</v>
      </c>
      <c r="S432" s="10">
        <v>48889.522672912419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  <c r="AG432" s="10">
        <v>0</v>
      </c>
      <c r="AH432" s="10">
        <v>0</v>
      </c>
      <c r="AI432" s="10">
        <v>0</v>
      </c>
      <c r="AJ432" s="10">
        <v>0</v>
      </c>
      <c r="AK432" s="10">
        <v>244447.61336456207</v>
      </c>
      <c r="AL432" s="10">
        <v>0</v>
      </c>
      <c r="AM432" s="10">
        <v>0</v>
      </c>
      <c r="AN432" s="10">
        <v>0</v>
      </c>
      <c r="AO432" s="10">
        <v>0</v>
      </c>
      <c r="AP432" s="16">
        <f t="shared" si="7"/>
        <v>244447.61336456207</v>
      </c>
    </row>
    <row r="433" spans="1:42" x14ac:dyDescent="0.25">
      <c r="A433" s="6" t="s">
        <v>36</v>
      </c>
      <c r="B433" s="6" t="s">
        <v>18</v>
      </c>
      <c r="C433" s="6" t="s">
        <v>19</v>
      </c>
      <c r="D433" s="7" t="s">
        <v>20</v>
      </c>
      <c r="E433" s="7" t="s">
        <v>21</v>
      </c>
      <c r="F433" s="7" t="s">
        <v>22</v>
      </c>
      <c r="G433" s="7" t="s">
        <v>23</v>
      </c>
      <c r="H433" s="7" t="s">
        <v>37</v>
      </c>
      <c r="I433" s="6" t="s">
        <v>25</v>
      </c>
      <c r="J433" s="6"/>
      <c r="K433" s="6" t="s">
        <v>222</v>
      </c>
      <c r="L433" s="6" t="s">
        <v>219</v>
      </c>
      <c r="M433" s="10">
        <v>0</v>
      </c>
      <c r="N433" s="10">
        <v>0</v>
      </c>
      <c r="O433" s="10">
        <v>129.90393721735967</v>
      </c>
      <c r="P433" s="10">
        <v>129.90393721735967</v>
      </c>
      <c r="Q433" s="10">
        <v>129.90393721735967</v>
      </c>
      <c r="R433" s="10">
        <v>129.90393721735967</v>
      </c>
      <c r="S433" s="10">
        <v>129.90393721735967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  <c r="AG433" s="10">
        <v>0</v>
      </c>
      <c r="AH433" s="10">
        <v>0</v>
      </c>
      <c r="AI433" s="10">
        <v>0</v>
      </c>
      <c r="AJ433" s="10">
        <v>0</v>
      </c>
      <c r="AK433" s="10">
        <v>649.51968608679829</v>
      </c>
      <c r="AL433" s="10">
        <v>0</v>
      </c>
      <c r="AM433" s="10">
        <v>0</v>
      </c>
      <c r="AN433" s="10">
        <v>0</v>
      </c>
      <c r="AO433" s="10">
        <v>0</v>
      </c>
      <c r="AP433" s="16">
        <f t="shared" si="7"/>
        <v>649.51968608679829</v>
      </c>
    </row>
    <row r="434" spans="1:42" x14ac:dyDescent="0.25">
      <c r="A434" s="6" t="s">
        <v>38</v>
      </c>
      <c r="B434" s="6" t="s">
        <v>18</v>
      </c>
      <c r="C434" s="6" t="s">
        <v>19</v>
      </c>
      <c r="D434" s="7" t="s">
        <v>20</v>
      </c>
      <c r="E434" s="7" t="s">
        <v>21</v>
      </c>
      <c r="F434" s="7" t="s">
        <v>22</v>
      </c>
      <c r="G434" s="7" t="s">
        <v>23</v>
      </c>
      <c r="H434" s="7" t="s">
        <v>39</v>
      </c>
      <c r="I434" s="6" t="s">
        <v>25</v>
      </c>
      <c r="J434" s="6"/>
      <c r="K434" s="6" t="s">
        <v>222</v>
      </c>
      <c r="L434" s="6" t="s">
        <v>219</v>
      </c>
      <c r="M434" s="10">
        <v>0</v>
      </c>
      <c r="N434" s="10">
        <v>0</v>
      </c>
      <c r="O434" s="10">
        <v>16716.909395189439</v>
      </c>
      <c r="P434" s="10">
        <v>16716.909395189439</v>
      </c>
      <c r="Q434" s="10">
        <v>16716.909395189439</v>
      </c>
      <c r="R434" s="10">
        <v>16716.909395189439</v>
      </c>
      <c r="S434" s="10">
        <v>16716.909395189439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  <c r="AE434" s="10">
        <v>0</v>
      </c>
      <c r="AF434" s="10">
        <v>0</v>
      </c>
      <c r="AG434" s="10">
        <v>0</v>
      </c>
      <c r="AH434" s="10">
        <v>0</v>
      </c>
      <c r="AI434" s="10">
        <v>0</v>
      </c>
      <c r="AJ434" s="10">
        <v>0</v>
      </c>
      <c r="AK434" s="10">
        <v>83584.546975947203</v>
      </c>
      <c r="AL434" s="10">
        <v>0</v>
      </c>
      <c r="AM434" s="10">
        <v>0</v>
      </c>
      <c r="AN434" s="10">
        <v>0</v>
      </c>
      <c r="AO434" s="10">
        <v>0</v>
      </c>
      <c r="AP434" s="16">
        <f t="shared" si="7"/>
        <v>83584.546975947203</v>
      </c>
    </row>
    <row r="435" spans="1:42" x14ac:dyDescent="0.25">
      <c r="A435" s="6" t="s">
        <v>40</v>
      </c>
      <c r="B435" s="6" t="s">
        <v>18</v>
      </c>
      <c r="C435" s="6" t="s">
        <v>19</v>
      </c>
      <c r="D435" s="7" t="s">
        <v>20</v>
      </c>
      <c r="E435" s="7" t="s">
        <v>21</v>
      </c>
      <c r="F435" s="7" t="s">
        <v>22</v>
      </c>
      <c r="G435" s="7" t="s">
        <v>23</v>
      </c>
      <c r="H435" s="7" t="s">
        <v>41</v>
      </c>
      <c r="I435" s="6" t="s">
        <v>25</v>
      </c>
      <c r="J435" s="6"/>
      <c r="K435" s="6" t="s">
        <v>218</v>
      </c>
      <c r="L435" s="6" t="s">
        <v>219</v>
      </c>
      <c r="M435" s="10">
        <v>0</v>
      </c>
      <c r="N435" s="10">
        <v>0</v>
      </c>
      <c r="O435" s="10">
        <v>1241.3714118931596</v>
      </c>
      <c r="P435" s="10">
        <v>1241.3714118931596</v>
      </c>
      <c r="Q435" s="10">
        <v>1241.3714118931596</v>
      </c>
      <c r="R435" s="10">
        <v>1241.3714118931596</v>
      </c>
      <c r="S435" s="10">
        <v>1241.3714118931596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0</v>
      </c>
      <c r="AG435" s="10">
        <v>0</v>
      </c>
      <c r="AH435" s="10">
        <v>0</v>
      </c>
      <c r="AI435" s="10">
        <v>0</v>
      </c>
      <c r="AJ435" s="10">
        <v>0</v>
      </c>
      <c r="AK435" s="10">
        <v>6206.8570594657976</v>
      </c>
      <c r="AL435" s="10">
        <v>0</v>
      </c>
      <c r="AM435" s="10">
        <v>0</v>
      </c>
      <c r="AN435" s="10">
        <v>0</v>
      </c>
      <c r="AO435" s="10">
        <v>0</v>
      </c>
      <c r="AP435" s="16">
        <f t="shared" si="7"/>
        <v>6206.8570594657976</v>
      </c>
    </row>
    <row r="436" spans="1:42" x14ac:dyDescent="0.25">
      <c r="A436" s="6" t="s">
        <v>42</v>
      </c>
      <c r="B436" s="6" t="s">
        <v>18</v>
      </c>
      <c r="C436" s="6" t="s">
        <v>19</v>
      </c>
      <c r="D436" s="7" t="s">
        <v>20</v>
      </c>
      <c r="E436" s="7" t="s">
        <v>21</v>
      </c>
      <c r="F436" s="7" t="s">
        <v>22</v>
      </c>
      <c r="G436" s="7" t="s">
        <v>23</v>
      </c>
      <c r="H436" s="7" t="s">
        <v>43</v>
      </c>
      <c r="I436" s="6" t="s">
        <v>25</v>
      </c>
      <c r="J436" s="6"/>
      <c r="K436" s="6" t="s">
        <v>223</v>
      </c>
      <c r="L436" s="6" t="s">
        <v>219</v>
      </c>
      <c r="M436" s="10">
        <v>0</v>
      </c>
      <c r="N436" s="10">
        <v>0</v>
      </c>
      <c r="O436" s="10">
        <v>6662.491348065575</v>
      </c>
      <c r="P436" s="10">
        <v>6662.491348065575</v>
      </c>
      <c r="Q436" s="10">
        <v>6662.491348065575</v>
      </c>
      <c r="R436" s="10">
        <v>6662.491348065575</v>
      </c>
      <c r="S436" s="10">
        <v>6662.491348065575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  <c r="AG436" s="10">
        <v>0</v>
      </c>
      <c r="AH436" s="10">
        <v>0</v>
      </c>
      <c r="AI436" s="10">
        <v>0</v>
      </c>
      <c r="AJ436" s="10">
        <v>0</v>
      </c>
      <c r="AK436" s="10">
        <v>33312.456740327871</v>
      </c>
      <c r="AL436" s="10">
        <v>0</v>
      </c>
      <c r="AM436" s="10">
        <v>0</v>
      </c>
      <c r="AN436" s="10">
        <v>0</v>
      </c>
      <c r="AO436" s="10">
        <v>0</v>
      </c>
      <c r="AP436" s="16">
        <f t="shared" si="7"/>
        <v>33312.456740327871</v>
      </c>
    </row>
    <row r="437" spans="1:42" x14ac:dyDescent="0.25">
      <c r="A437" s="6" t="s">
        <v>17</v>
      </c>
      <c r="B437" s="6" t="s">
        <v>18</v>
      </c>
      <c r="C437" s="6" t="s">
        <v>19</v>
      </c>
      <c r="D437" s="7" t="s">
        <v>20</v>
      </c>
      <c r="E437" s="7" t="s">
        <v>21</v>
      </c>
      <c r="F437" s="7" t="s">
        <v>22</v>
      </c>
      <c r="G437" s="7" t="s">
        <v>23</v>
      </c>
      <c r="H437" s="7" t="s">
        <v>24</v>
      </c>
      <c r="I437" s="6" t="s">
        <v>25</v>
      </c>
      <c r="J437" s="6"/>
      <c r="K437" s="6" t="s">
        <v>218</v>
      </c>
      <c r="L437" s="6" t="s">
        <v>224</v>
      </c>
      <c r="M437" s="10">
        <v>54.533863514167493</v>
      </c>
      <c r="N437" s="10">
        <v>54.533863514167493</v>
      </c>
      <c r="O437" s="10">
        <v>54.533863514167493</v>
      </c>
      <c r="P437" s="10">
        <v>54.533863514167493</v>
      </c>
      <c r="Q437" s="10">
        <v>54.533863514167493</v>
      </c>
      <c r="R437" s="10">
        <v>54.533863514167493</v>
      </c>
      <c r="S437" s="10">
        <v>54.533863514167493</v>
      </c>
      <c r="T437" s="10">
        <v>54.533863514167493</v>
      </c>
      <c r="U437" s="10">
        <v>54.533863514167493</v>
      </c>
      <c r="V437" s="10">
        <v>54.533863514167493</v>
      </c>
      <c r="W437" s="10">
        <v>54.533863514167493</v>
      </c>
      <c r="X437" s="10">
        <v>54.533863514167493</v>
      </c>
      <c r="Y437" s="10">
        <v>54.533863514167493</v>
      </c>
      <c r="Z437" s="10">
        <v>54.533863514167493</v>
      </c>
      <c r="AA437" s="10">
        <v>54.533863514167493</v>
      </c>
      <c r="AB437" s="10">
        <v>54.533863514167493</v>
      </c>
      <c r="AC437" s="10">
        <v>54.533863514167493</v>
      </c>
      <c r="AD437" s="10">
        <v>54.533863514167493</v>
      </c>
      <c r="AE437" s="10">
        <v>54.533863514167493</v>
      </c>
      <c r="AF437" s="10">
        <v>54.533863514167493</v>
      </c>
      <c r="AG437" s="10">
        <v>54.533863514167493</v>
      </c>
      <c r="AH437" s="10">
        <v>54.533863514167493</v>
      </c>
      <c r="AI437" s="10">
        <v>54.533863514167493</v>
      </c>
      <c r="AJ437" s="10">
        <v>54.533863514167493</v>
      </c>
      <c r="AK437" s="10">
        <v>654.4063621700102</v>
      </c>
      <c r="AL437" s="10">
        <v>654.4063621700102</v>
      </c>
      <c r="AM437" s="10">
        <v>654.4063621700102</v>
      </c>
      <c r="AN437" s="10">
        <v>654.4063621700102</v>
      </c>
      <c r="AO437" s="10">
        <v>654.4063621700102</v>
      </c>
      <c r="AP437" s="16">
        <f t="shared" si="7"/>
        <v>3272.031810850051</v>
      </c>
    </row>
    <row r="438" spans="1:42" x14ac:dyDescent="0.25">
      <c r="A438" s="6" t="s">
        <v>28</v>
      </c>
      <c r="B438" s="6" t="s">
        <v>18</v>
      </c>
      <c r="C438" s="6" t="s">
        <v>19</v>
      </c>
      <c r="D438" s="7" t="s">
        <v>20</v>
      </c>
      <c r="E438" s="7" t="s">
        <v>21</v>
      </c>
      <c r="F438" s="7" t="s">
        <v>22</v>
      </c>
      <c r="G438" s="7" t="s">
        <v>23</v>
      </c>
      <c r="H438" s="7" t="s">
        <v>29</v>
      </c>
      <c r="I438" s="6" t="s">
        <v>25</v>
      </c>
      <c r="J438" s="6"/>
      <c r="K438" s="6" t="s">
        <v>218</v>
      </c>
      <c r="L438" s="6" t="s">
        <v>224</v>
      </c>
      <c r="M438" s="10">
        <v>39070.530694123583</v>
      </c>
      <c r="N438" s="10">
        <v>39070.530694123583</v>
      </c>
      <c r="O438" s="10">
        <v>39070.530694123583</v>
      </c>
      <c r="P438" s="10">
        <v>39070.530694123583</v>
      </c>
      <c r="Q438" s="10">
        <v>39070.530694123583</v>
      </c>
      <c r="R438" s="10">
        <v>39070.530694123583</v>
      </c>
      <c r="S438" s="10">
        <v>39070.530694123583</v>
      </c>
      <c r="T438" s="10">
        <v>39070.530694123583</v>
      </c>
      <c r="U438" s="10">
        <v>39070.530694123583</v>
      </c>
      <c r="V438" s="10">
        <v>39070.530694123583</v>
      </c>
      <c r="W438" s="10">
        <v>39070.530694123583</v>
      </c>
      <c r="X438" s="10">
        <v>39070.530694123583</v>
      </c>
      <c r="Y438" s="10">
        <v>39070.530694123583</v>
      </c>
      <c r="Z438" s="10">
        <v>39070.530694123583</v>
      </c>
      <c r="AA438" s="10">
        <v>39070.530694123583</v>
      </c>
      <c r="AB438" s="10">
        <v>39070.530694123583</v>
      </c>
      <c r="AC438" s="10">
        <v>39070.530694123583</v>
      </c>
      <c r="AD438" s="10">
        <v>39070.530694123583</v>
      </c>
      <c r="AE438" s="10">
        <v>39070.530694123583</v>
      </c>
      <c r="AF438" s="10">
        <v>39070.530694123583</v>
      </c>
      <c r="AG438" s="10">
        <v>39070.530694123583</v>
      </c>
      <c r="AH438" s="10">
        <v>39070.530694123583</v>
      </c>
      <c r="AI438" s="10">
        <v>39070.530694123583</v>
      </c>
      <c r="AJ438" s="10">
        <v>39070.530694123583</v>
      </c>
      <c r="AK438" s="10">
        <v>468846.36832948297</v>
      </c>
      <c r="AL438" s="10">
        <v>468846.36832948297</v>
      </c>
      <c r="AM438" s="10">
        <v>468846.36832948297</v>
      </c>
      <c r="AN438" s="10">
        <v>468846.36832948297</v>
      </c>
      <c r="AO438" s="10">
        <v>468846.36832948297</v>
      </c>
      <c r="AP438" s="16">
        <f t="shared" si="7"/>
        <v>2344231.841647415</v>
      </c>
    </row>
    <row r="439" spans="1:42" x14ac:dyDescent="0.25">
      <c r="A439" s="6" t="s">
        <v>30</v>
      </c>
      <c r="B439" s="6" t="s">
        <v>18</v>
      </c>
      <c r="C439" s="6" t="s">
        <v>19</v>
      </c>
      <c r="D439" s="7" t="s">
        <v>20</v>
      </c>
      <c r="E439" s="7" t="s">
        <v>21</v>
      </c>
      <c r="F439" s="7" t="s">
        <v>22</v>
      </c>
      <c r="G439" s="7" t="s">
        <v>23</v>
      </c>
      <c r="H439" s="7" t="s">
        <v>31</v>
      </c>
      <c r="I439" s="6" t="s">
        <v>25</v>
      </c>
      <c r="J439" s="6"/>
      <c r="K439" s="6" t="s">
        <v>218</v>
      </c>
      <c r="L439" s="6" t="s">
        <v>224</v>
      </c>
      <c r="M439" s="10">
        <v>15033.361932936225</v>
      </c>
      <c r="N439" s="10">
        <v>15033.361932936225</v>
      </c>
      <c r="O439" s="10">
        <v>15033.361932936225</v>
      </c>
      <c r="P439" s="10">
        <v>15033.361932936225</v>
      </c>
      <c r="Q439" s="10">
        <v>15033.361932936225</v>
      </c>
      <c r="R439" s="10">
        <v>15033.361932936225</v>
      </c>
      <c r="S439" s="10">
        <v>15033.361932936225</v>
      </c>
      <c r="T439" s="10">
        <v>15033.361932936225</v>
      </c>
      <c r="U439" s="10">
        <v>15033.361932936225</v>
      </c>
      <c r="V439" s="10">
        <v>15033.361932936225</v>
      </c>
      <c r="W439" s="10">
        <v>15033.361932936225</v>
      </c>
      <c r="X439" s="10">
        <v>15033.361932936225</v>
      </c>
      <c r="Y439" s="10">
        <v>15033.361932936225</v>
      </c>
      <c r="Z439" s="10">
        <v>15033.361932936225</v>
      </c>
      <c r="AA439" s="10">
        <v>15033.361932936225</v>
      </c>
      <c r="AB439" s="10">
        <v>15033.361932936225</v>
      </c>
      <c r="AC439" s="10">
        <v>15033.361932936225</v>
      </c>
      <c r="AD439" s="10">
        <v>15033.361932936225</v>
      </c>
      <c r="AE439" s="10">
        <v>15033.361932936225</v>
      </c>
      <c r="AF439" s="10">
        <v>15033.361932936225</v>
      </c>
      <c r="AG439" s="10">
        <v>15033.361932936225</v>
      </c>
      <c r="AH439" s="10">
        <v>15033.361932936225</v>
      </c>
      <c r="AI439" s="10">
        <v>15033.361932936225</v>
      </c>
      <c r="AJ439" s="10">
        <v>15033.361932936225</v>
      </c>
      <c r="AK439" s="10">
        <v>180400.34319523472</v>
      </c>
      <c r="AL439" s="10">
        <v>180400.34319523472</v>
      </c>
      <c r="AM439" s="10">
        <v>180400.34319523477</v>
      </c>
      <c r="AN439" s="10">
        <v>180400.34319523477</v>
      </c>
      <c r="AO439" s="10">
        <v>180400.34319523477</v>
      </c>
      <c r="AP439" s="16">
        <f t="shared" si="7"/>
        <v>902001.71597617376</v>
      </c>
    </row>
    <row r="440" spans="1:42" x14ac:dyDescent="0.25">
      <c r="A440" s="6" t="s">
        <v>32</v>
      </c>
      <c r="B440" s="6" t="s">
        <v>18</v>
      </c>
      <c r="C440" s="6" t="s">
        <v>19</v>
      </c>
      <c r="D440" s="7" t="s">
        <v>20</v>
      </c>
      <c r="E440" s="7" t="s">
        <v>21</v>
      </c>
      <c r="F440" s="7" t="s">
        <v>22</v>
      </c>
      <c r="G440" s="7" t="s">
        <v>23</v>
      </c>
      <c r="H440" s="7" t="s">
        <v>33</v>
      </c>
      <c r="I440" s="6" t="s">
        <v>25</v>
      </c>
      <c r="J440" s="6"/>
      <c r="K440" s="6"/>
      <c r="L440" s="6" t="s">
        <v>224</v>
      </c>
      <c r="M440" s="10">
        <v>3902.8810395476262</v>
      </c>
      <c r="N440" s="10">
        <v>3902.8810395476262</v>
      </c>
      <c r="O440" s="10">
        <v>3902.8810395476262</v>
      </c>
      <c r="P440" s="10">
        <v>3902.8810395476262</v>
      </c>
      <c r="Q440" s="10">
        <v>3902.8810395476262</v>
      </c>
      <c r="R440" s="10">
        <v>3902.8810395476262</v>
      </c>
      <c r="S440" s="10">
        <v>3902.8810395476262</v>
      </c>
      <c r="T440" s="10">
        <v>3902.8810395476262</v>
      </c>
      <c r="U440" s="10">
        <v>3902.8810395476262</v>
      </c>
      <c r="V440" s="10">
        <v>3902.8810395476262</v>
      </c>
      <c r="W440" s="10">
        <v>3902.8810395476262</v>
      </c>
      <c r="X440" s="10">
        <v>3902.8810395476262</v>
      </c>
      <c r="Y440" s="10">
        <v>3902.8810395476262</v>
      </c>
      <c r="Z440" s="10">
        <v>3902.8810395476262</v>
      </c>
      <c r="AA440" s="10">
        <v>3902.8810395476262</v>
      </c>
      <c r="AB440" s="10">
        <v>3902.8810395476262</v>
      </c>
      <c r="AC440" s="10">
        <v>3902.8810395476262</v>
      </c>
      <c r="AD440" s="10">
        <v>3902.8810395476262</v>
      </c>
      <c r="AE440" s="10">
        <v>3902.8810395476262</v>
      </c>
      <c r="AF440" s="10">
        <v>3902.8810395476262</v>
      </c>
      <c r="AG440" s="10">
        <v>3902.8810395476262</v>
      </c>
      <c r="AH440" s="10">
        <v>3902.8810395476262</v>
      </c>
      <c r="AI440" s="10">
        <v>3902.8810395476262</v>
      </c>
      <c r="AJ440" s="10">
        <v>3902.8810395476262</v>
      </c>
      <c r="AK440" s="10">
        <v>46834.572474571527</v>
      </c>
      <c r="AL440" s="10">
        <v>46834.572474571527</v>
      </c>
      <c r="AM440" s="10">
        <v>46834.572474571527</v>
      </c>
      <c r="AN440" s="10">
        <v>46834.572474571527</v>
      </c>
      <c r="AO440" s="10">
        <v>46834.572474571527</v>
      </c>
      <c r="AP440" s="16">
        <f t="shared" si="7"/>
        <v>234172.86237285763</v>
      </c>
    </row>
    <row r="441" spans="1:42" x14ac:dyDescent="0.25">
      <c r="A441" s="6" t="s">
        <v>34</v>
      </c>
      <c r="B441" s="6" t="s">
        <v>18</v>
      </c>
      <c r="C441" s="6" t="s">
        <v>19</v>
      </c>
      <c r="D441" s="7" t="s">
        <v>20</v>
      </c>
      <c r="E441" s="7" t="s">
        <v>21</v>
      </c>
      <c r="F441" s="7" t="s">
        <v>22</v>
      </c>
      <c r="G441" s="7" t="s">
        <v>23</v>
      </c>
      <c r="H441" s="7" t="s">
        <v>35</v>
      </c>
      <c r="I441" s="6" t="s">
        <v>25</v>
      </c>
      <c r="J441" s="6"/>
      <c r="K441" s="6" t="s">
        <v>222</v>
      </c>
      <c r="L441" s="6" t="s">
        <v>224</v>
      </c>
      <c r="M441" s="10">
        <v>27160.845926776179</v>
      </c>
      <c r="N441" s="10">
        <v>27160.845926776179</v>
      </c>
      <c r="O441" s="10">
        <v>27160.845926776179</v>
      </c>
      <c r="P441" s="10">
        <v>27160.845926776179</v>
      </c>
      <c r="Q441" s="10">
        <v>27160.845926776179</v>
      </c>
      <c r="R441" s="10">
        <v>27160.845926776179</v>
      </c>
      <c r="S441" s="10">
        <v>27160.845926776179</v>
      </c>
      <c r="T441" s="10">
        <v>27160.845926776179</v>
      </c>
      <c r="U441" s="10">
        <v>27160.845926776179</v>
      </c>
      <c r="V441" s="10">
        <v>27160.845926776179</v>
      </c>
      <c r="W441" s="10">
        <v>27160.845926776179</v>
      </c>
      <c r="X441" s="10">
        <v>27160.845926776179</v>
      </c>
      <c r="Y441" s="10">
        <v>27160.845926776179</v>
      </c>
      <c r="Z441" s="10">
        <v>27160.845926776179</v>
      </c>
      <c r="AA441" s="10">
        <v>27160.845926776179</v>
      </c>
      <c r="AB441" s="10">
        <v>27160.845926776179</v>
      </c>
      <c r="AC441" s="10">
        <v>27160.845926776179</v>
      </c>
      <c r="AD441" s="10">
        <v>27160.845926776179</v>
      </c>
      <c r="AE441" s="10">
        <v>27160.845926776179</v>
      </c>
      <c r="AF441" s="10">
        <v>27160.845926776179</v>
      </c>
      <c r="AG441" s="10">
        <v>27160.845926776179</v>
      </c>
      <c r="AH441" s="10">
        <v>27160.845926776179</v>
      </c>
      <c r="AI441" s="10">
        <v>27160.845926776179</v>
      </c>
      <c r="AJ441" s="10">
        <v>27160.845926776179</v>
      </c>
      <c r="AK441" s="10">
        <v>325930.15112131409</v>
      </c>
      <c r="AL441" s="10">
        <v>325930.15112131409</v>
      </c>
      <c r="AM441" s="10">
        <v>325930.15112131409</v>
      </c>
      <c r="AN441" s="10">
        <v>325930.15112131409</v>
      </c>
      <c r="AO441" s="10">
        <v>325930.15112131409</v>
      </c>
      <c r="AP441" s="16">
        <f t="shared" si="7"/>
        <v>1629650.7556065705</v>
      </c>
    </row>
    <row r="442" spans="1:42" x14ac:dyDescent="0.25">
      <c r="A442" s="6" t="s">
        <v>36</v>
      </c>
      <c r="B442" s="6" t="s">
        <v>18</v>
      </c>
      <c r="C442" s="6" t="s">
        <v>19</v>
      </c>
      <c r="D442" s="7" t="s">
        <v>20</v>
      </c>
      <c r="E442" s="7" t="s">
        <v>21</v>
      </c>
      <c r="F442" s="7" t="s">
        <v>22</v>
      </c>
      <c r="G442" s="7" t="s">
        <v>23</v>
      </c>
      <c r="H442" s="7" t="s">
        <v>37</v>
      </c>
      <c r="I442" s="6" t="s">
        <v>25</v>
      </c>
      <c r="J442" s="6"/>
      <c r="K442" s="6"/>
      <c r="L442" s="6" t="s">
        <v>224</v>
      </c>
      <c r="M442" s="10">
        <v>72.168853998695454</v>
      </c>
      <c r="N442" s="10">
        <v>72.168853998695454</v>
      </c>
      <c r="O442" s="10">
        <v>72.168853998695454</v>
      </c>
      <c r="P442" s="10">
        <v>72.168853998695454</v>
      </c>
      <c r="Q442" s="10">
        <v>72.168853998695454</v>
      </c>
      <c r="R442" s="10">
        <v>72.168853998695454</v>
      </c>
      <c r="S442" s="10">
        <v>72.168853998695454</v>
      </c>
      <c r="T442" s="10">
        <v>72.168853998695454</v>
      </c>
      <c r="U442" s="10">
        <v>72.168853998695454</v>
      </c>
      <c r="V442" s="10">
        <v>72.168853998695454</v>
      </c>
      <c r="W442" s="10">
        <v>72.168853998695454</v>
      </c>
      <c r="X442" s="10">
        <v>72.168853998695454</v>
      </c>
      <c r="Y442" s="10">
        <v>72.168853998695454</v>
      </c>
      <c r="Z442" s="10">
        <v>72.168853998695454</v>
      </c>
      <c r="AA442" s="10">
        <v>72.168853998695454</v>
      </c>
      <c r="AB442" s="10">
        <v>72.168853998695454</v>
      </c>
      <c r="AC442" s="10">
        <v>72.168853998695454</v>
      </c>
      <c r="AD442" s="10">
        <v>72.168853998695454</v>
      </c>
      <c r="AE442" s="10">
        <v>72.168853998695454</v>
      </c>
      <c r="AF442" s="10">
        <v>72.168853998695454</v>
      </c>
      <c r="AG442" s="10">
        <v>72.168853998695454</v>
      </c>
      <c r="AH442" s="10">
        <v>72.168853998695454</v>
      </c>
      <c r="AI442" s="10">
        <v>72.168853998695454</v>
      </c>
      <c r="AJ442" s="10">
        <v>72.168853998695454</v>
      </c>
      <c r="AK442" s="10">
        <v>866.02624798434545</v>
      </c>
      <c r="AL442" s="10">
        <v>866.02624798434545</v>
      </c>
      <c r="AM442" s="10">
        <v>866.02624798434545</v>
      </c>
      <c r="AN442" s="10">
        <v>866.02624798434545</v>
      </c>
      <c r="AO442" s="10">
        <v>866.02624798434545</v>
      </c>
      <c r="AP442" s="16">
        <f t="shared" si="7"/>
        <v>4330.1312399217277</v>
      </c>
    </row>
    <row r="443" spans="1:42" x14ac:dyDescent="0.25">
      <c r="A443" s="6" t="s">
        <v>38</v>
      </c>
      <c r="B443" s="6" t="s">
        <v>18</v>
      </c>
      <c r="C443" s="6" t="s">
        <v>19</v>
      </c>
      <c r="D443" s="7" t="s">
        <v>20</v>
      </c>
      <c r="E443" s="7" t="s">
        <v>21</v>
      </c>
      <c r="F443" s="7" t="s">
        <v>22</v>
      </c>
      <c r="G443" s="7" t="s">
        <v>23</v>
      </c>
      <c r="H443" s="7" t="s">
        <v>39</v>
      </c>
      <c r="I443" s="6" t="s">
        <v>25</v>
      </c>
      <c r="J443" s="6"/>
      <c r="K443" s="6" t="s">
        <v>223</v>
      </c>
      <c r="L443" s="6" t="s">
        <v>224</v>
      </c>
      <c r="M443" s="10">
        <v>9287.1718865880957</v>
      </c>
      <c r="N443" s="10">
        <v>9287.1718865880957</v>
      </c>
      <c r="O443" s="10">
        <v>9287.1718865880957</v>
      </c>
      <c r="P443" s="10">
        <v>9287.1718865880957</v>
      </c>
      <c r="Q443" s="10">
        <v>9287.1718865880957</v>
      </c>
      <c r="R443" s="10">
        <v>9287.1718865880957</v>
      </c>
      <c r="S443" s="10">
        <v>9287.1718865880957</v>
      </c>
      <c r="T443" s="10">
        <v>9287.1718865880957</v>
      </c>
      <c r="U443" s="10">
        <v>9287.1718865880957</v>
      </c>
      <c r="V443" s="10">
        <v>9287.1718865880957</v>
      </c>
      <c r="W443" s="10">
        <v>9287.1718865880957</v>
      </c>
      <c r="X443" s="10">
        <v>9287.1718865880957</v>
      </c>
      <c r="Y443" s="10">
        <v>9287.1718865880957</v>
      </c>
      <c r="Z443" s="10">
        <v>9287.1718865880957</v>
      </c>
      <c r="AA443" s="10">
        <v>9287.1718865880957</v>
      </c>
      <c r="AB443" s="10">
        <v>9287.1718865880957</v>
      </c>
      <c r="AC443" s="10">
        <v>9287.1718865880957</v>
      </c>
      <c r="AD443" s="10">
        <v>9287.1718865880957</v>
      </c>
      <c r="AE443" s="10">
        <v>9287.1718865880957</v>
      </c>
      <c r="AF443" s="10">
        <v>9287.1718865880957</v>
      </c>
      <c r="AG443" s="10">
        <v>9287.1718865880957</v>
      </c>
      <c r="AH443" s="10">
        <v>9287.1718865880957</v>
      </c>
      <c r="AI443" s="10">
        <v>9287.1718865880957</v>
      </c>
      <c r="AJ443" s="10">
        <v>9287.1718865880957</v>
      </c>
      <c r="AK443" s="10">
        <v>111446.06263905716</v>
      </c>
      <c r="AL443" s="10">
        <v>111446.06263905716</v>
      </c>
      <c r="AM443" s="10">
        <v>111446.06263905716</v>
      </c>
      <c r="AN443" s="10">
        <v>111446.06263905716</v>
      </c>
      <c r="AO443" s="10">
        <v>111446.06263905716</v>
      </c>
      <c r="AP443" s="16">
        <f t="shared" si="7"/>
        <v>557230.31319528574</v>
      </c>
    </row>
    <row r="444" spans="1:42" x14ac:dyDescent="0.25">
      <c r="A444" s="6" t="s">
        <v>40</v>
      </c>
      <c r="B444" s="6" t="s">
        <v>18</v>
      </c>
      <c r="C444" s="6" t="s">
        <v>19</v>
      </c>
      <c r="D444" s="7" t="s">
        <v>20</v>
      </c>
      <c r="E444" s="7" t="s">
        <v>21</v>
      </c>
      <c r="F444" s="7" t="s">
        <v>22</v>
      </c>
      <c r="G444" s="7" t="s">
        <v>23</v>
      </c>
      <c r="H444" s="7" t="s">
        <v>41</v>
      </c>
      <c r="I444" s="6" t="s">
        <v>25</v>
      </c>
      <c r="J444" s="6"/>
      <c r="K444" s="6"/>
      <c r="L444" s="6" t="s">
        <v>224</v>
      </c>
      <c r="M444" s="10">
        <v>689.65078426563014</v>
      </c>
      <c r="N444" s="10">
        <v>689.65078426563014</v>
      </c>
      <c r="O444" s="10">
        <v>689.65078426563014</v>
      </c>
      <c r="P444" s="10">
        <v>689.65078426563014</v>
      </c>
      <c r="Q444" s="10">
        <v>689.65078426563014</v>
      </c>
      <c r="R444" s="10">
        <v>689.65078426563014</v>
      </c>
      <c r="S444" s="10">
        <v>689.65078426563014</v>
      </c>
      <c r="T444" s="10">
        <v>689.65078426563014</v>
      </c>
      <c r="U444" s="10">
        <v>689.65078426563014</v>
      </c>
      <c r="V444" s="10">
        <v>689.65078426563014</v>
      </c>
      <c r="W444" s="10">
        <v>689.65078426563014</v>
      </c>
      <c r="X444" s="10">
        <v>689.65078426563014</v>
      </c>
      <c r="Y444" s="10">
        <v>689.65078426563014</v>
      </c>
      <c r="Z444" s="10">
        <v>689.65078426563014</v>
      </c>
      <c r="AA444" s="10">
        <v>689.65078426563014</v>
      </c>
      <c r="AB444" s="10">
        <v>689.65078426563014</v>
      </c>
      <c r="AC444" s="10">
        <v>689.65078426563014</v>
      </c>
      <c r="AD444" s="10">
        <v>689.65078426563014</v>
      </c>
      <c r="AE444" s="10">
        <v>689.65078426563014</v>
      </c>
      <c r="AF444" s="10">
        <v>689.65078426563014</v>
      </c>
      <c r="AG444" s="10">
        <v>689.65078426563014</v>
      </c>
      <c r="AH444" s="10">
        <v>689.65078426563014</v>
      </c>
      <c r="AI444" s="10">
        <v>689.65078426563014</v>
      </c>
      <c r="AJ444" s="10">
        <v>689.65078426563014</v>
      </c>
      <c r="AK444" s="10">
        <v>8275.8094111875598</v>
      </c>
      <c r="AL444" s="10">
        <v>8275.8094111875598</v>
      </c>
      <c r="AM444" s="10">
        <v>8275.809411187558</v>
      </c>
      <c r="AN444" s="10">
        <v>8275.809411187558</v>
      </c>
      <c r="AO444" s="10">
        <v>8275.809411187558</v>
      </c>
      <c r="AP444" s="16">
        <f t="shared" si="7"/>
        <v>41379.047055937786</v>
      </c>
    </row>
    <row r="445" spans="1:42" x14ac:dyDescent="0.25">
      <c r="A445" s="6" t="s">
        <v>42</v>
      </c>
      <c r="B445" s="6" t="s">
        <v>18</v>
      </c>
      <c r="C445" s="6" t="s">
        <v>19</v>
      </c>
      <c r="D445" s="7" t="s">
        <v>20</v>
      </c>
      <c r="E445" s="7" t="s">
        <v>21</v>
      </c>
      <c r="F445" s="7" t="s">
        <v>22</v>
      </c>
      <c r="G445" s="7" t="s">
        <v>23</v>
      </c>
      <c r="H445" s="7" t="s">
        <v>43</v>
      </c>
      <c r="I445" s="6" t="s">
        <v>25</v>
      </c>
      <c r="J445" s="6"/>
      <c r="K445" s="6"/>
      <c r="L445" s="6" t="s">
        <v>224</v>
      </c>
      <c r="M445" s="10">
        <v>3701.3840820746532</v>
      </c>
      <c r="N445" s="10">
        <v>3701.3840820746532</v>
      </c>
      <c r="O445" s="10">
        <v>3701.3840820746532</v>
      </c>
      <c r="P445" s="10">
        <v>3701.3840820746532</v>
      </c>
      <c r="Q445" s="10">
        <v>3701.3840820746532</v>
      </c>
      <c r="R445" s="10">
        <v>3701.3840820746532</v>
      </c>
      <c r="S445" s="10">
        <v>3701.3840820746532</v>
      </c>
      <c r="T445" s="10">
        <v>3701.3840820746532</v>
      </c>
      <c r="U445" s="10">
        <v>3701.3840820746532</v>
      </c>
      <c r="V445" s="10">
        <v>3701.3840820746532</v>
      </c>
      <c r="W445" s="10">
        <v>3701.3840820746532</v>
      </c>
      <c r="X445" s="10">
        <v>3701.3840820746532</v>
      </c>
      <c r="Y445" s="10">
        <v>3701.3840820746532</v>
      </c>
      <c r="Z445" s="10">
        <v>3701.3840820746532</v>
      </c>
      <c r="AA445" s="10">
        <v>3701.3840820746532</v>
      </c>
      <c r="AB445" s="10">
        <v>3701.3840820746532</v>
      </c>
      <c r="AC445" s="10">
        <v>3701.3840820746532</v>
      </c>
      <c r="AD445" s="10">
        <v>3701.3840820746532</v>
      </c>
      <c r="AE445" s="10">
        <v>3701.3840820746532</v>
      </c>
      <c r="AF445" s="10">
        <v>3701.3840820746532</v>
      </c>
      <c r="AG445" s="10">
        <v>3701.3840820746532</v>
      </c>
      <c r="AH445" s="10">
        <v>3701.3840820746532</v>
      </c>
      <c r="AI445" s="10">
        <v>3701.3840820746532</v>
      </c>
      <c r="AJ445" s="10">
        <v>3701.3840820746532</v>
      </c>
      <c r="AK445" s="10">
        <v>44416.608984895851</v>
      </c>
      <c r="AL445" s="10">
        <v>44416.608984895851</v>
      </c>
      <c r="AM445" s="10">
        <v>44416.608984895851</v>
      </c>
      <c r="AN445" s="10">
        <v>44416.608984895851</v>
      </c>
      <c r="AO445" s="10">
        <v>44416.608984895851</v>
      </c>
      <c r="AP445" s="16">
        <f t="shared" si="7"/>
        <v>222083.04492447927</v>
      </c>
    </row>
    <row r="446" spans="1:42" x14ac:dyDescent="0.25">
      <c r="A446" s="6" t="s">
        <v>17</v>
      </c>
      <c r="B446" s="6" t="s">
        <v>18</v>
      </c>
      <c r="C446" s="6" t="s">
        <v>19</v>
      </c>
      <c r="D446" s="7" t="s">
        <v>20</v>
      </c>
      <c r="E446" s="7" t="s">
        <v>21</v>
      </c>
      <c r="F446" s="7" t="s">
        <v>22</v>
      </c>
      <c r="G446" s="7" t="s">
        <v>23</v>
      </c>
      <c r="H446" s="7" t="s">
        <v>24</v>
      </c>
      <c r="I446" s="6" t="s">
        <v>25</v>
      </c>
      <c r="J446" s="6"/>
      <c r="K446" s="6"/>
      <c r="L446" s="6" t="s">
        <v>225</v>
      </c>
      <c r="M446" s="10">
        <v>109.06772702833499</v>
      </c>
      <c r="N446" s="10">
        <v>109.06772702833499</v>
      </c>
      <c r="O446" s="10">
        <v>109.06772702833499</v>
      </c>
      <c r="P446" s="10">
        <v>109.06772702833499</v>
      </c>
      <c r="Q446" s="10">
        <v>109.06772702833499</v>
      </c>
      <c r="R446" s="10">
        <v>109.06772702833499</v>
      </c>
      <c r="S446" s="10">
        <v>109.06772702833499</v>
      </c>
      <c r="T446" s="10">
        <v>109.06772702833499</v>
      </c>
      <c r="U446" s="10">
        <v>109.06772702833499</v>
      </c>
      <c r="V446" s="10">
        <v>109.06772702833499</v>
      </c>
      <c r="W446" s="10">
        <v>109.06772702833499</v>
      </c>
      <c r="X446" s="10">
        <v>109.06772702833499</v>
      </c>
      <c r="Y446" s="10">
        <v>109.06772702833499</v>
      </c>
      <c r="Z446" s="10">
        <v>109.06772702833499</v>
      </c>
      <c r="AA446" s="10">
        <v>109.06772702833499</v>
      </c>
      <c r="AB446" s="10">
        <v>109.06772702833499</v>
      </c>
      <c r="AC446" s="10">
        <v>109.06772702833499</v>
      </c>
      <c r="AD446" s="10">
        <v>109.06772702833499</v>
      </c>
      <c r="AE446" s="10">
        <v>109.06772702833499</v>
      </c>
      <c r="AF446" s="10">
        <v>109.06772702833499</v>
      </c>
      <c r="AG446" s="10">
        <v>109.06772702833499</v>
      </c>
      <c r="AH446" s="10">
        <v>109.06772702833499</v>
      </c>
      <c r="AI446" s="10">
        <v>109.06772702833499</v>
      </c>
      <c r="AJ446" s="10">
        <v>109.06772702833499</v>
      </c>
      <c r="AK446" s="10">
        <v>1308.8127243400204</v>
      </c>
      <c r="AL446" s="10">
        <v>1308.8127243400204</v>
      </c>
      <c r="AM446" s="10">
        <v>1308.8127243400197</v>
      </c>
      <c r="AN446" s="10">
        <v>1308.8127243400197</v>
      </c>
      <c r="AO446" s="10">
        <v>0</v>
      </c>
      <c r="AP446" s="16">
        <f t="shared" si="7"/>
        <v>5235.2508973600798</v>
      </c>
    </row>
    <row r="447" spans="1:42" x14ac:dyDescent="0.25">
      <c r="A447" s="6" t="s">
        <v>28</v>
      </c>
      <c r="B447" s="6" t="s">
        <v>18</v>
      </c>
      <c r="C447" s="6" t="s">
        <v>19</v>
      </c>
      <c r="D447" s="7" t="s">
        <v>20</v>
      </c>
      <c r="E447" s="7" t="s">
        <v>21</v>
      </c>
      <c r="F447" s="7" t="s">
        <v>22</v>
      </c>
      <c r="G447" s="7" t="s">
        <v>23</v>
      </c>
      <c r="H447" s="7" t="s">
        <v>29</v>
      </c>
      <c r="I447" s="6" t="s">
        <v>25</v>
      </c>
      <c r="J447" s="6"/>
      <c r="K447" s="6" t="s">
        <v>222</v>
      </c>
      <c r="L447" s="6" t="s">
        <v>225</v>
      </c>
      <c r="M447" s="10">
        <v>78141.061388247166</v>
      </c>
      <c r="N447" s="10">
        <v>78141.061388247166</v>
      </c>
      <c r="O447" s="10">
        <v>78141.061388247166</v>
      </c>
      <c r="P447" s="10">
        <v>78141.061388247166</v>
      </c>
      <c r="Q447" s="10">
        <v>78141.061388247166</v>
      </c>
      <c r="R447" s="10">
        <v>78141.061388247166</v>
      </c>
      <c r="S447" s="10">
        <v>78141.061388247166</v>
      </c>
      <c r="T447" s="10">
        <v>78141.061388247166</v>
      </c>
      <c r="U447" s="10">
        <v>78141.061388247166</v>
      </c>
      <c r="V447" s="10">
        <v>78141.061388247166</v>
      </c>
      <c r="W447" s="10">
        <v>78141.061388247166</v>
      </c>
      <c r="X447" s="10">
        <v>78141.061388247166</v>
      </c>
      <c r="Y447" s="10">
        <v>78141.061388247166</v>
      </c>
      <c r="Z447" s="10">
        <v>78141.061388247166</v>
      </c>
      <c r="AA447" s="10">
        <v>78141.061388247166</v>
      </c>
      <c r="AB447" s="10">
        <v>78141.061388247166</v>
      </c>
      <c r="AC447" s="10">
        <v>78141.061388247166</v>
      </c>
      <c r="AD447" s="10">
        <v>78141.061388247166</v>
      </c>
      <c r="AE447" s="10">
        <v>78141.061388247166</v>
      </c>
      <c r="AF447" s="10">
        <v>78141.061388247166</v>
      </c>
      <c r="AG447" s="10">
        <v>78141.061388247166</v>
      </c>
      <c r="AH447" s="10">
        <v>78141.061388247166</v>
      </c>
      <c r="AI447" s="10">
        <v>78141.061388247166</v>
      </c>
      <c r="AJ447" s="10">
        <v>78141.061388247166</v>
      </c>
      <c r="AK447" s="10">
        <v>937692.73665896594</v>
      </c>
      <c r="AL447" s="10">
        <v>937692.73665896594</v>
      </c>
      <c r="AM447" s="10">
        <v>937692.73665896547</v>
      </c>
      <c r="AN447" s="10">
        <v>937692.73665896547</v>
      </c>
      <c r="AO447" s="10">
        <v>0</v>
      </c>
      <c r="AP447" s="16">
        <f t="shared" si="7"/>
        <v>3750770.9466358628</v>
      </c>
    </row>
    <row r="448" spans="1:42" x14ac:dyDescent="0.25">
      <c r="A448" s="6" t="s">
        <v>30</v>
      </c>
      <c r="B448" s="6" t="s">
        <v>18</v>
      </c>
      <c r="C448" s="6" t="s">
        <v>19</v>
      </c>
      <c r="D448" s="7" t="s">
        <v>20</v>
      </c>
      <c r="E448" s="7" t="s">
        <v>21</v>
      </c>
      <c r="F448" s="7" t="s">
        <v>22</v>
      </c>
      <c r="G448" s="7" t="s">
        <v>23</v>
      </c>
      <c r="H448" s="7" t="s">
        <v>31</v>
      </c>
      <c r="I448" s="6" t="s">
        <v>25</v>
      </c>
      <c r="J448" s="6"/>
      <c r="K448" s="6" t="s">
        <v>223</v>
      </c>
      <c r="L448" s="6" t="s">
        <v>225</v>
      </c>
      <c r="M448" s="10">
        <v>30066.723865872453</v>
      </c>
      <c r="N448" s="10">
        <v>30066.723865872453</v>
      </c>
      <c r="O448" s="10">
        <v>30066.723865872453</v>
      </c>
      <c r="P448" s="10">
        <v>30066.723865872453</v>
      </c>
      <c r="Q448" s="10">
        <v>30066.723865872453</v>
      </c>
      <c r="R448" s="10">
        <v>30066.723865872453</v>
      </c>
      <c r="S448" s="10">
        <v>30066.723865872453</v>
      </c>
      <c r="T448" s="10">
        <v>30066.723865872453</v>
      </c>
      <c r="U448" s="10">
        <v>30066.723865872453</v>
      </c>
      <c r="V448" s="10">
        <v>30066.723865872453</v>
      </c>
      <c r="W448" s="10">
        <v>30066.723865872453</v>
      </c>
      <c r="X448" s="10">
        <v>30066.723865872453</v>
      </c>
      <c r="Y448" s="10">
        <v>30066.723865872453</v>
      </c>
      <c r="Z448" s="10">
        <v>30066.723865872453</v>
      </c>
      <c r="AA448" s="10">
        <v>30066.723865872453</v>
      </c>
      <c r="AB448" s="10">
        <v>30066.723865872453</v>
      </c>
      <c r="AC448" s="10">
        <v>30066.723865872453</v>
      </c>
      <c r="AD448" s="10">
        <v>30066.723865872453</v>
      </c>
      <c r="AE448" s="10">
        <v>30066.723865872453</v>
      </c>
      <c r="AF448" s="10">
        <v>30066.723865872453</v>
      </c>
      <c r="AG448" s="10">
        <v>30066.723865872453</v>
      </c>
      <c r="AH448" s="10">
        <v>30066.723865872453</v>
      </c>
      <c r="AI448" s="10">
        <v>30066.723865872453</v>
      </c>
      <c r="AJ448" s="10">
        <v>30066.723865872453</v>
      </c>
      <c r="AK448" s="10">
        <v>360800.68639046955</v>
      </c>
      <c r="AL448" s="10">
        <v>360800.68639046955</v>
      </c>
      <c r="AM448" s="10">
        <v>360800.68639046937</v>
      </c>
      <c r="AN448" s="10">
        <v>360800.68639046937</v>
      </c>
      <c r="AO448" s="10">
        <v>0</v>
      </c>
      <c r="AP448" s="16">
        <f t="shared" si="7"/>
        <v>1443202.7455618777</v>
      </c>
    </row>
    <row r="449" spans="1:42" x14ac:dyDescent="0.25">
      <c r="A449" s="6" t="s">
        <v>32</v>
      </c>
      <c r="B449" s="6" t="s">
        <v>18</v>
      </c>
      <c r="C449" s="6" t="s">
        <v>19</v>
      </c>
      <c r="D449" s="7" t="s">
        <v>20</v>
      </c>
      <c r="E449" s="7" t="s">
        <v>21</v>
      </c>
      <c r="F449" s="7" t="s">
        <v>22</v>
      </c>
      <c r="G449" s="7" t="s">
        <v>23</v>
      </c>
      <c r="H449" s="7" t="s">
        <v>33</v>
      </c>
      <c r="I449" s="6" t="s">
        <v>25</v>
      </c>
      <c r="J449" s="6"/>
      <c r="K449" s="6" t="s">
        <v>222</v>
      </c>
      <c r="L449" s="6" t="s">
        <v>225</v>
      </c>
      <c r="M449" s="10">
        <v>7805.7620790952524</v>
      </c>
      <c r="N449" s="10">
        <v>7805.7620790952524</v>
      </c>
      <c r="O449" s="10">
        <v>7805.7620790952524</v>
      </c>
      <c r="P449" s="10">
        <v>7805.7620790952524</v>
      </c>
      <c r="Q449" s="10">
        <v>7805.7620790952524</v>
      </c>
      <c r="R449" s="10">
        <v>7805.7620790952524</v>
      </c>
      <c r="S449" s="10">
        <v>7805.7620790952524</v>
      </c>
      <c r="T449" s="10">
        <v>7805.7620790952524</v>
      </c>
      <c r="U449" s="10">
        <v>7805.7620790952524</v>
      </c>
      <c r="V449" s="10">
        <v>7805.7620790952524</v>
      </c>
      <c r="W449" s="10">
        <v>7805.7620790952524</v>
      </c>
      <c r="X449" s="10">
        <v>7805.7620790952524</v>
      </c>
      <c r="Y449" s="10">
        <v>7805.7620790952524</v>
      </c>
      <c r="Z449" s="10">
        <v>7805.7620790952524</v>
      </c>
      <c r="AA449" s="10">
        <v>7805.7620790952524</v>
      </c>
      <c r="AB449" s="10">
        <v>7805.7620790952524</v>
      </c>
      <c r="AC449" s="10">
        <v>7805.7620790952524</v>
      </c>
      <c r="AD449" s="10">
        <v>7805.7620790952524</v>
      </c>
      <c r="AE449" s="10">
        <v>7805.7620790952524</v>
      </c>
      <c r="AF449" s="10">
        <v>7805.7620790952524</v>
      </c>
      <c r="AG449" s="10">
        <v>7805.7620790952524</v>
      </c>
      <c r="AH449" s="10">
        <v>7805.7620790952524</v>
      </c>
      <c r="AI449" s="10">
        <v>7805.7620790952524</v>
      </c>
      <c r="AJ449" s="10">
        <v>7805.7620790952524</v>
      </c>
      <c r="AK449" s="10">
        <v>93669.144949143054</v>
      </c>
      <c r="AL449" s="10">
        <v>93669.144949143054</v>
      </c>
      <c r="AM449" s="10">
        <v>93669.14494914301</v>
      </c>
      <c r="AN449" s="10">
        <v>93669.14494914301</v>
      </c>
      <c r="AO449" s="10">
        <v>0</v>
      </c>
      <c r="AP449" s="16">
        <f t="shared" si="7"/>
        <v>374676.5797965721</v>
      </c>
    </row>
    <row r="450" spans="1:42" x14ac:dyDescent="0.25">
      <c r="A450" s="6" t="s">
        <v>34</v>
      </c>
      <c r="B450" s="6" t="s">
        <v>18</v>
      </c>
      <c r="C450" s="6" t="s">
        <v>19</v>
      </c>
      <c r="D450" s="7" t="s">
        <v>20</v>
      </c>
      <c r="E450" s="7" t="s">
        <v>21</v>
      </c>
      <c r="F450" s="7" t="s">
        <v>22</v>
      </c>
      <c r="G450" s="7" t="s">
        <v>23</v>
      </c>
      <c r="H450" s="7" t="s">
        <v>35</v>
      </c>
      <c r="I450" s="6" t="s">
        <v>25</v>
      </c>
      <c r="J450" s="6"/>
      <c r="K450" s="6" t="s">
        <v>223</v>
      </c>
      <c r="L450" s="6" t="s">
        <v>225</v>
      </c>
      <c r="M450" s="10">
        <v>54321.691853552366</v>
      </c>
      <c r="N450" s="10">
        <v>54321.691853552366</v>
      </c>
      <c r="O450" s="10">
        <v>54321.691853552366</v>
      </c>
      <c r="P450" s="10">
        <v>54321.691853552366</v>
      </c>
      <c r="Q450" s="10">
        <v>54321.691853552366</v>
      </c>
      <c r="R450" s="10">
        <v>54321.691853552366</v>
      </c>
      <c r="S450" s="10">
        <v>54321.691853552366</v>
      </c>
      <c r="T450" s="10">
        <v>54321.691853552366</v>
      </c>
      <c r="U450" s="10">
        <v>54321.691853552366</v>
      </c>
      <c r="V450" s="10">
        <v>54321.691853552366</v>
      </c>
      <c r="W450" s="10">
        <v>54321.691853552366</v>
      </c>
      <c r="X450" s="10">
        <v>54321.691853552366</v>
      </c>
      <c r="Y450" s="10">
        <v>54321.691853552366</v>
      </c>
      <c r="Z450" s="10">
        <v>54321.691853552366</v>
      </c>
      <c r="AA450" s="10">
        <v>54321.691853552366</v>
      </c>
      <c r="AB450" s="10">
        <v>54321.691853552366</v>
      </c>
      <c r="AC450" s="10">
        <v>54321.691853552366</v>
      </c>
      <c r="AD450" s="10">
        <v>54321.691853552366</v>
      </c>
      <c r="AE450" s="10">
        <v>54321.691853552366</v>
      </c>
      <c r="AF450" s="10">
        <v>54321.691853552366</v>
      </c>
      <c r="AG450" s="10">
        <v>54321.691853552366</v>
      </c>
      <c r="AH450" s="10">
        <v>54321.691853552366</v>
      </c>
      <c r="AI450" s="10">
        <v>54321.691853552366</v>
      </c>
      <c r="AJ450" s="10">
        <v>54321.691853552366</v>
      </c>
      <c r="AK450" s="10">
        <v>651860.30224262818</v>
      </c>
      <c r="AL450" s="10">
        <v>651860.30224262818</v>
      </c>
      <c r="AM450" s="10">
        <v>651860.30224262783</v>
      </c>
      <c r="AN450" s="10">
        <v>651860.30224262783</v>
      </c>
      <c r="AO450" s="10">
        <v>0</v>
      </c>
      <c r="AP450" s="16">
        <f t="shared" si="7"/>
        <v>2607441.2089705123</v>
      </c>
    </row>
    <row r="451" spans="1:42" x14ac:dyDescent="0.25">
      <c r="A451" s="6" t="s">
        <v>36</v>
      </c>
      <c r="B451" s="6" t="s">
        <v>18</v>
      </c>
      <c r="C451" s="6" t="s">
        <v>19</v>
      </c>
      <c r="D451" s="7" t="s">
        <v>20</v>
      </c>
      <c r="E451" s="7" t="s">
        <v>21</v>
      </c>
      <c r="F451" s="7" t="s">
        <v>22</v>
      </c>
      <c r="G451" s="7" t="s">
        <v>23</v>
      </c>
      <c r="H451" s="7" t="s">
        <v>37</v>
      </c>
      <c r="I451" s="6" t="s">
        <v>25</v>
      </c>
      <c r="J451" s="6"/>
      <c r="K451" s="6"/>
      <c r="L451" s="6" t="s">
        <v>225</v>
      </c>
      <c r="M451" s="10">
        <v>144.33770799739091</v>
      </c>
      <c r="N451" s="10">
        <v>144.33770799739091</v>
      </c>
      <c r="O451" s="10">
        <v>144.33770799739091</v>
      </c>
      <c r="P451" s="10">
        <v>144.33770799739091</v>
      </c>
      <c r="Q451" s="10">
        <v>144.33770799739091</v>
      </c>
      <c r="R451" s="10">
        <v>144.33770799739091</v>
      </c>
      <c r="S451" s="10">
        <v>144.33770799739091</v>
      </c>
      <c r="T451" s="10">
        <v>144.33770799739091</v>
      </c>
      <c r="U451" s="10">
        <v>144.33770799739091</v>
      </c>
      <c r="V451" s="10">
        <v>144.33770799739091</v>
      </c>
      <c r="W451" s="10">
        <v>144.33770799739091</v>
      </c>
      <c r="X451" s="10">
        <v>144.33770799739091</v>
      </c>
      <c r="Y451" s="10">
        <v>144.33770799739091</v>
      </c>
      <c r="Z451" s="10">
        <v>144.33770799739091</v>
      </c>
      <c r="AA451" s="10">
        <v>144.33770799739091</v>
      </c>
      <c r="AB451" s="10">
        <v>144.33770799739091</v>
      </c>
      <c r="AC451" s="10">
        <v>144.33770799739091</v>
      </c>
      <c r="AD451" s="10">
        <v>144.33770799739091</v>
      </c>
      <c r="AE451" s="10">
        <v>144.33770799739091</v>
      </c>
      <c r="AF451" s="10">
        <v>144.33770799739091</v>
      </c>
      <c r="AG451" s="10">
        <v>144.33770799739091</v>
      </c>
      <c r="AH451" s="10">
        <v>144.33770799739091</v>
      </c>
      <c r="AI451" s="10">
        <v>144.33770799739091</v>
      </c>
      <c r="AJ451" s="10">
        <v>144.33770799739091</v>
      </c>
      <c r="AK451" s="10">
        <v>1732.0524959686909</v>
      </c>
      <c r="AL451" s="10">
        <v>1732.0524959686909</v>
      </c>
      <c r="AM451" s="10">
        <v>1732.0524959686902</v>
      </c>
      <c r="AN451" s="10">
        <v>1732.0524959686902</v>
      </c>
      <c r="AO451" s="10">
        <v>0</v>
      </c>
      <c r="AP451" s="16">
        <f t="shared" si="7"/>
        <v>6928.2099838747617</v>
      </c>
    </row>
    <row r="452" spans="1:42" x14ac:dyDescent="0.25">
      <c r="A452" s="6" t="s">
        <v>38</v>
      </c>
      <c r="B452" s="6" t="s">
        <v>18</v>
      </c>
      <c r="C452" s="6" t="s">
        <v>19</v>
      </c>
      <c r="D452" s="7" t="s">
        <v>20</v>
      </c>
      <c r="E452" s="7" t="s">
        <v>21</v>
      </c>
      <c r="F452" s="7" t="s">
        <v>22</v>
      </c>
      <c r="G452" s="7" t="s">
        <v>23</v>
      </c>
      <c r="H452" s="7" t="s">
        <v>39</v>
      </c>
      <c r="I452" s="6" t="s">
        <v>25</v>
      </c>
      <c r="J452" s="6"/>
      <c r="K452" s="6"/>
      <c r="L452" s="6" t="s">
        <v>225</v>
      </c>
      <c r="M452" s="10">
        <v>18574.343773176191</v>
      </c>
      <c r="N452" s="10">
        <v>18574.343773176191</v>
      </c>
      <c r="O452" s="10">
        <v>18574.343773176191</v>
      </c>
      <c r="P452" s="10">
        <v>18574.343773176191</v>
      </c>
      <c r="Q452" s="10">
        <v>18574.343773176191</v>
      </c>
      <c r="R452" s="10">
        <v>18574.343773176191</v>
      </c>
      <c r="S452" s="10">
        <v>18574.343773176191</v>
      </c>
      <c r="T452" s="10">
        <v>18574.343773176191</v>
      </c>
      <c r="U452" s="10">
        <v>18574.343773176191</v>
      </c>
      <c r="V452" s="10">
        <v>18574.343773176191</v>
      </c>
      <c r="W452" s="10">
        <v>18574.343773176191</v>
      </c>
      <c r="X452" s="10">
        <v>18574.343773176191</v>
      </c>
      <c r="Y452" s="10">
        <v>18574.343773176191</v>
      </c>
      <c r="Z452" s="10">
        <v>18574.343773176191</v>
      </c>
      <c r="AA452" s="10">
        <v>18574.343773176191</v>
      </c>
      <c r="AB452" s="10">
        <v>18574.343773176191</v>
      </c>
      <c r="AC452" s="10">
        <v>18574.343773176191</v>
      </c>
      <c r="AD452" s="10">
        <v>18574.343773176191</v>
      </c>
      <c r="AE452" s="10">
        <v>18574.343773176191</v>
      </c>
      <c r="AF452" s="10">
        <v>18574.343773176191</v>
      </c>
      <c r="AG452" s="10">
        <v>18574.343773176191</v>
      </c>
      <c r="AH452" s="10">
        <v>18574.343773176191</v>
      </c>
      <c r="AI452" s="10">
        <v>18574.343773176191</v>
      </c>
      <c r="AJ452" s="10">
        <v>18574.343773176191</v>
      </c>
      <c r="AK452" s="10">
        <v>222892.12527811431</v>
      </c>
      <c r="AL452" s="10">
        <v>222892.12527811431</v>
      </c>
      <c r="AM452" s="10">
        <v>222892.1252781142</v>
      </c>
      <c r="AN452" s="10">
        <v>222892.1252781142</v>
      </c>
      <c r="AO452" s="10">
        <v>0</v>
      </c>
      <c r="AP452" s="16">
        <f t="shared" si="7"/>
        <v>891568.50111245702</v>
      </c>
    </row>
    <row r="453" spans="1:42" x14ac:dyDescent="0.25">
      <c r="A453" s="6" t="s">
        <v>40</v>
      </c>
      <c r="B453" s="6" t="s">
        <v>18</v>
      </c>
      <c r="C453" s="6" t="s">
        <v>19</v>
      </c>
      <c r="D453" s="7" t="s">
        <v>20</v>
      </c>
      <c r="E453" s="7" t="s">
        <v>21</v>
      </c>
      <c r="F453" s="7" t="s">
        <v>22</v>
      </c>
      <c r="G453" s="7" t="s">
        <v>23</v>
      </c>
      <c r="H453" s="7" t="s">
        <v>41</v>
      </c>
      <c r="I453" s="6" t="s">
        <v>25</v>
      </c>
      <c r="J453" s="6"/>
      <c r="K453" s="6"/>
      <c r="L453" s="6" t="s">
        <v>225</v>
      </c>
      <c r="M453" s="10">
        <v>1379.30156853126</v>
      </c>
      <c r="N453" s="10">
        <v>1379.30156853126</v>
      </c>
      <c r="O453" s="10">
        <v>1379.30156853126</v>
      </c>
      <c r="P453" s="10">
        <v>1379.30156853126</v>
      </c>
      <c r="Q453" s="10">
        <v>1379.30156853126</v>
      </c>
      <c r="R453" s="10">
        <v>1379.30156853126</v>
      </c>
      <c r="S453" s="10">
        <v>1379.30156853126</v>
      </c>
      <c r="T453" s="10">
        <v>1379.30156853126</v>
      </c>
      <c r="U453" s="10">
        <v>1379.30156853126</v>
      </c>
      <c r="V453" s="10">
        <v>1379.30156853126</v>
      </c>
      <c r="W453" s="10">
        <v>1379.30156853126</v>
      </c>
      <c r="X453" s="10">
        <v>1379.30156853126</v>
      </c>
      <c r="Y453" s="10">
        <v>1379.30156853126</v>
      </c>
      <c r="Z453" s="10">
        <v>1379.30156853126</v>
      </c>
      <c r="AA453" s="10">
        <v>1379.30156853126</v>
      </c>
      <c r="AB453" s="10">
        <v>1379.30156853126</v>
      </c>
      <c r="AC453" s="10">
        <v>1379.30156853126</v>
      </c>
      <c r="AD453" s="10">
        <v>1379.30156853126</v>
      </c>
      <c r="AE453" s="10">
        <v>1379.30156853126</v>
      </c>
      <c r="AF453" s="10">
        <v>1379.30156853126</v>
      </c>
      <c r="AG453" s="10">
        <v>1379.30156853126</v>
      </c>
      <c r="AH453" s="10">
        <v>1379.30156853126</v>
      </c>
      <c r="AI453" s="10">
        <v>1379.30156853126</v>
      </c>
      <c r="AJ453" s="10">
        <v>1379.30156853126</v>
      </c>
      <c r="AK453" s="10">
        <v>16551.618822375116</v>
      </c>
      <c r="AL453" s="10">
        <v>16551.618822375116</v>
      </c>
      <c r="AM453" s="10">
        <v>16551.618822375109</v>
      </c>
      <c r="AN453" s="10">
        <v>16551.618822375109</v>
      </c>
      <c r="AO453" s="10">
        <v>0</v>
      </c>
      <c r="AP453" s="16">
        <f t="shared" ref="AP453:AP516" si="8">SUM(AK453:AO453)</f>
        <v>66206.475289500449</v>
      </c>
    </row>
    <row r="454" spans="1:42" x14ac:dyDescent="0.25">
      <c r="A454" s="6" t="s">
        <v>42</v>
      </c>
      <c r="B454" s="6" t="s">
        <v>18</v>
      </c>
      <c r="C454" s="6" t="s">
        <v>19</v>
      </c>
      <c r="D454" s="7" t="s">
        <v>20</v>
      </c>
      <c r="E454" s="7" t="s">
        <v>21</v>
      </c>
      <c r="F454" s="7" t="s">
        <v>22</v>
      </c>
      <c r="G454" s="7" t="s">
        <v>23</v>
      </c>
      <c r="H454" s="7" t="s">
        <v>43</v>
      </c>
      <c r="I454" s="6" t="s">
        <v>25</v>
      </c>
      <c r="J454" s="6"/>
      <c r="K454" s="6"/>
      <c r="L454" s="6" t="s">
        <v>225</v>
      </c>
      <c r="M454" s="10">
        <v>7402.7681641493064</v>
      </c>
      <c r="N454" s="10">
        <v>7402.7681641493064</v>
      </c>
      <c r="O454" s="10">
        <v>7402.7681641493064</v>
      </c>
      <c r="P454" s="10">
        <v>7402.7681641493064</v>
      </c>
      <c r="Q454" s="10">
        <v>7402.7681641493064</v>
      </c>
      <c r="R454" s="10">
        <v>7402.7681641493064</v>
      </c>
      <c r="S454" s="10">
        <v>7402.7681641493064</v>
      </c>
      <c r="T454" s="10">
        <v>7402.7681641493064</v>
      </c>
      <c r="U454" s="10">
        <v>7402.7681641493064</v>
      </c>
      <c r="V454" s="10">
        <v>7402.7681641493064</v>
      </c>
      <c r="W454" s="10">
        <v>7402.7681641493064</v>
      </c>
      <c r="X454" s="10">
        <v>7402.7681641493064</v>
      </c>
      <c r="Y454" s="10">
        <v>7402.7681641493064</v>
      </c>
      <c r="Z454" s="10">
        <v>7402.7681641493064</v>
      </c>
      <c r="AA454" s="10">
        <v>7402.7681641493064</v>
      </c>
      <c r="AB454" s="10">
        <v>7402.7681641493064</v>
      </c>
      <c r="AC454" s="10">
        <v>7402.7681641493064</v>
      </c>
      <c r="AD454" s="10">
        <v>7402.7681641493064</v>
      </c>
      <c r="AE454" s="10">
        <v>7402.7681641493064</v>
      </c>
      <c r="AF454" s="10">
        <v>7402.7681641493064</v>
      </c>
      <c r="AG454" s="10">
        <v>7402.7681641493064</v>
      </c>
      <c r="AH454" s="10">
        <v>7402.7681641493064</v>
      </c>
      <c r="AI454" s="10">
        <v>7402.7681641493064</v>
      </c>
      <c r="AJ454" s="10">
        <v>7402.7681641493064</v>
      </c>
      <c r="AK454" s="10">
        <v>88833.217969791702</v>
      </c>
      <c r="AL454" s="10">
        <v>88833.217969791702</v>
      </c>
      <c r="AM454" s="10">
        <v>88833.217969791658</v>
      </c>
      <c r="AN454" s="10">
        <v>88833.217969791658</v>
      </c>
      <c r="AO454" s="10">
        <v>0</v>
      </c>
      <c r="AP454" s="16">
        <f t="shared" si="8"/>
        <v>355332.87187916675</v>
      </c>
    </row>
    <row r="455" spans="1:42" x14ac:dyDescent="0.25">
      <c r="A455" s="6" t="s">
        <v>17</v>
      </c>
      <c r="B455" s="6" t="s">
        <v>18</v>
      </c>
      <c r="C455" s="6" t="s">
        <v>19</v>
      </c>
      <c r="D455" s="7" t="s">
        <v>20</v>
      </c>
      <c r="E455" s="7" t="s">
        <v>21</v>
      </c>
      <c r="F455" s="7" t="s">
        <v>22</v>
      </c>
      <c r="G455" s="7" t="s">
        <v>23</v>
      </c>
      <c r="H455" s="7" t="s">
        <v>24</v>
      </c>
      <c r="I455" s="6" t="s">
        <v>25</v>
      </c>
      <c r="J455" s="6"/>
      <c r="K455" s="6"/>
      <c r="L455" s="6" t="s">
        <v>226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32249.420295457618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  <c r="AE455" s="10">
        <v>0</v>
      </c>
      <c r="AF455" s="10">
        <v>0</v>
      </c>
      <c r="AG455" s="10">
        <v>0</v>
      </c>
      <c r="AH455" s="10">
        <v>0</v>
      </c>
      <c r="AI455" s="10">
        <v>0</v>
      </c>
      <c r="AJ455" s="10">
        <v>32249.420295457618</v>
      </c>
      <c r="AK455" s="10">
        <v>32249.420295457618</v>
      </c>
      <c r="AL455" s="10">
        <v>32249.420295457618</v>
      </c>
      <c r="AM455" s="10">
        <v>0</v>
      </c>
      <c r="AN455" s="10">
        <v>0</v>
      </c>
      <c r="AO455" s="10">
        <v>0</v>
      </c>
      <c r="AP455" s="16">
        <f t="shared" si="8"/>
        <v>64498.840590915235</v>
      </c>
    </row>
    <row r="456" spans="1:42" x14ac:dyDescent="0.25">
      <c r="A456" s="6" t="s">
        <v>28</v>
      </c>
      <c r="B456" s="6" t="s">
        <v>18</v>
      </c>
      <c r="C456" s="6" t="s">
        <v>19</v>
      </c>
      <c r="D456" s="7" t="s">
        <v>20</v>
      </c>
      <c r="E456" s="7" t="s">
        <v>21</v>
      </c>
      <c r="F456" s="7" t="s">
        <v>22</v>
      </c>
      <c r="G456" s="7" t="s">
        <v>23</v>
      </c>
      <c r="H456" s="7" t="s">
        <v>29</v>
      </c>
      <c r="I456" s="6" t="s">
        <v>25</v>
      </c>
      <c r="J456" s="6"/>
      <c r="K456" s="6"/>
      <c r="L456" s="6" t="s">
        <v>226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5717096.7073945692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  <c r="AG456" s="10">
        <v>0</v>
      </c>
      <c r="AH456" s="10">
        <v>0</v>
      </c>
      <c r="AI456" s="10">
        <v>0</v>
      </c>
      <c r="AJ456" s="10">
        <v>5717096.7073945692</v>
      </c>
      <c r="AK456" s="10">
        <v>5717096.7073945692</v>
      </c>
      <c r="AL456" s="10">
        <v>5717096.7073945692</v>
      </c>
      <c r="AM456" s="10">
        <v>0</v>
      </c>
      <c r="AN456" s="10">
        <v>0</v>
      </c>
      <c r="AO456" s="10">
        <v>0</v>
      </c>
      <c r="AP456" s="16">
        <f t="shared" si="8"/>
        <v>11434193.414789138</v>
      </c>
    </row>
    <row r="457" spans="1:42" x14ac:dyDescent="0.25">
      <c r="A457" s="6" t="s">
        <v>30</v>
      </c>
      <c r="B457" s="6" t="s">
        <v>18</v>
      </c>
      <c r="C457" s="6" t="s">
        <v>19</v>
      </c>
      <c r="D457" s="7" t="s">
        <v>20</v>
      </c>
      <c r="E457" s="7" t="s">
        <v>21</v>
      </c>
      <c r="F457" s="7" t="s">
        <v>22</v>
      </c>
      <c r="G457" s="7" t="s">
        <v>23</v>
      </c>
      <c r="H457" s="7" t="s">
        <v>31</v>
      </c>
      <c r="I457" s="6" t="s">
        <v>25</v>
      </c>
      <c r="J457" s="6"/>
      <c r="K457" s="6"/>
      <c r="L457" s="6" t="s">
        <v>226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652983.29575895146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  <c r="AG457" s="10">
        <v>0</v>
      </c>
      <c r="AH457" s="10">
        <v>0</v>
      </c>
      <c r="AI457" s="10">
        <v>0</v>
      </c>
      <c r="AJ457" s="10">
        <v>652983.29575895146</v>
      </c>
      <c r="AK457" s="10">
        <v>652983.29575895146</v>
      </c>
      <c r="AL457" s="10">
        <v>652983.29575895146</v>
      </c>
      <c r="AM457" s="10">
        <v>0</v>
      </c>
      <c r="AN457" s="10">
        <v>0</v>
      </c>
      <c r="AO457" s="10">
        <v>0</v>
      </c>
      <c r="AP457" s="16">
        <f t="shared" si="8"/>
        <v>1305966.5915179029</v>
      </c>
    </row>
    <row r="458" spans="1:42" x14ac:dyDescent="0.25">
      <c r="A458" s="6" t="s">
        <v>32</v>
      </c>
      <c r="B458" s="6" t="s">
        <v>18</v>
      </c>
      <c r="C458" s="6" t="s">
        <v>19</v>
      </c>
      <c r="D458" s="7" t="s">
        <v>20</v>
      </c>
      <c r="E458" s="7" t="s">
        <v>21</v>
      </c>
      <c r="F458" s="7" t="s">
        <v>22</v>
      </c>
      <c r="G458" s="7" t="s">
        <v>23</v>
      </c>
      <c r="H458" s="7" t="s">
        <v>33</v>
      </c>
      <c r="I458" s="6" t="s">
        <v>25</v>
      </c>
      <c r="J458" s="6"/>
      <c r="K458" s="6"/>
      <c r="L458" s="6" t="s">
        <v>226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671961.42390438984</v>
      </c>
      <c r="Y458" s="10">
        <v>0</v>
      </c>
      <c r="Z458" s="10">
        <v>0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  <c r="AG458" s="10">
        <v>0</v>
      </c>
      <c r="AH458" s="10">
        <v>0</v>
      </c>
      <c r="AI458" s="10">
        <v>0</v>
      </c>
      <c r="AJ458" s="10">
        <v>671961.42390438984</v>
      </c>
      <c r="AK458" s="10">
        <v>671961.42390438984</v>
      </c>
      <c r="AL458" s="10">
        <v>671961.42390438984</v>
      </c>
      <c r="AM458" s="10">
        <v>0</v>
      </c>
      <c r="AN458" s="10">
        <v>0</v>
      </c>
      <c r="AO458" s="10">
        <v>0</v>
      </c>
      <c r="AP458" s="16">
        <f t="shared" si="8"/>
        <v>1343922.8478087797</v>
      </c>
    </row>
    <row r="459" spans="1:42" x14ac:dyDescent="0.25">
      <c r="A459" s="6" t="s">
        <v>34</v>
      </c>
      <c r="B459" s="6" t="s">
        <v>18</v>
      </c>
      <c r="C459" s="6" t="s">
        <v>19</v>
      </c>
      <c r="D459" s="7" t="s">
        <v>20</v>
      </c>
      <c r="E459" s="7" t="s">
        <v>21</v>
      </c>
      <c r="F459" s="7" t="s">
        <v>22</v>
      </c>
      <c r="G459" s="7" t="s">
        <v>23</v>
      </c>
      <c r="H459" s="7" t="s">
        <v>35</v>
      </c>
      <c r="I459" s="6" t="s">
        <v>25</v>
      </c>
      <c r="J459" s="6"/>
      <c r="K459" s="6"/>
      <c r="L459" s="6" t="s">
        <v>226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3580570.6325713973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  <c r="AG459" s="10">
        <v>0</v>
      </c>
      <c r="AH459" s="10">
        <v>0</v>
      </c>
      <c r="AI459" s="10">
        <v>0</v>
      </c>
      <c r="AJ459" s="10">
        <v>3580570.6325713973</v>
      </c>
      <c r="AK459" s="10">
        <v>3580570.6325713973</v>
      </c>
      <c r="AL459" s="10">
        <v>3580570.6325713973</v>
      </c>
      <c r="AM459" s="10">
        <v>0</v>
      </c>
      <c r="AN459" s="10">
        <v>0</v>
      </c>
      <c r="AO459" s="10">
        <v>0</v>
      </c>
      <c r="AP459" s="16">
        <f t="shared" si="8"/>
        <v>7161141.2651427947</v>
      </c>
    </row>
    <row r="460" spans="1:42" x14ac:dyDescent="0.25">
      <c r="A460" s="6" t="s">
        <v>36</v>
      </c>
      <c r="B460" s="6" t="s">
        <v>18</v>
      </c>
      <c r="C460" s="6" t="s">
        <v>19</v>
      </c>
      <c r="D460" s="7" t="s">
        <v>20</v>
      </c>
      <c r="E460" s="7" t="s">
        <v>21</v>
      </c>
      <c r="F460" s="7" t="s">
        <v>22</v>
      </c>
      <c r="G460" s="7" t="s">
        <v>23</v>
      </c>
      <c r="H460" s="7" t="s">
        <v>37</v>
      </c>
      <c r="I460" s="6" t="s">
        <v>25</v>
      </c>
      <c r="J460" s="6"/>
      <c r="K460" s="6"/>
      <c r="L460" s="6" t="s">
        <v>226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281164.75788753468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  <c r="AG460" s="10">
        <v>0</v>
      </c>
      <c r="AH460" s="10">
        <v>0</v>
      </c>
      <c r="AI460" s="10">
        <v>0</v>
      </c>
      <c r="AJ460" s="10">
        <v>281164.75788753468</v>
      </c>
      <c r="AK460" s="10">
        <v>281164.75788753468</v>
      </c>
      <c r="AL460" s="10">
        <v>281164.75788753468</v>
      </c>
      <c r="AM460" s="10">
        <v>0</v>
      </c>
      <c r="AN460" s="10">
        <v>0</v>
      </c>
      <c r="AO460" s="10">
        <v>0</v>
      </c>
      <c r="AP460" s="16">
        <f t="shared" si="8"/>
        <v>562329.51577506936</v>
      </c>
    </row>
    <row r="461" spans="1:42" x14ac:dyDescent="0.25">
      <c r="A461" s="6" t="s">
        <v>38</v>
      </c>
      <c r="B461" s="6" t="s">
        <v>18</v>
      </c>
      <c r="C461" s="6" t="s">
        <v>19</v>
      </c>
      <c r="D461" s="7" t="s">
        <v>20</v>
      </c>
      <c r="E461" s="7" t="s">
        <v>21</v>
      </c>
      <c r="F461" s="7" t="s">
        <v>22</v>
      </c>
      <c r="G461" s="7" t="s">
        <v>23</v>
      </c>
      <c r="H461" s="7" t="s">
        <v>39</v>
      </c>
      <c r="I461" s="6" t="s">
        <v>25</v>
      </c>
      <c r="J461" s="6"/>
      <c r="K461" s="6"/>
      <c r="L461" s="6" t="s">
        <v>226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2083304.2034099931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  <c r="AE461" s="10">
        <v>0</v>
      </c>
      <c r="AF461" s="10">
        <v>0</v>
      </c>
      <c r="AG461" s="10">
        <v>0</v>
      </c>
      <c r="AH461" s="10">
        <v>0</v>
      </c>
      <c r="AI461" s="10">
        <v>0</v>
      </c>
      <c r="AJ461" s="10">
        <v>2083304.2034099931</v>
      </c>
      <c r="AK461" s="10">
        <v>2083304.2034099931</v>
      </c>
      <c r="AL461" s="10">
        <v>2083304.2034099931</v>
      </c>
      <c r="AM461" s="10">
        <v>0</v>
      </c>
      <c r="AN461" s="10">
        <v>0</v>
      </c>
      <c r="AO461" s="10">
        <v>0</v>
      </c>
      <c r="AP461" s="16">
        <f t="shared" si="8"/>
        <v>4166608.4068199862</v>
      </c>
    </row>
    <row r="462" spans="1:42" x14ac:dyDescent="0.25">
      <c r="A462" s="6" t="s">
        <v>40</v>
      </c>
      <c r="B462" s="6" t="s">
        <v>18</v>
      </c>
      <c r="C462" s="6" t="s">
        <v>19</v>
      </c>
      <c r="D462" s="7" t="s">
        <v>20</v>
      </c>
      <c r="E462" s="7" t="s">
        <v>21</v>
      </c>
      <c r="F462" s="7" t="s">
        <v>22</v>
      </c>
      <c r="G462" s="7" t="s">
        <v>23</v>
      </c>
      <c r="H462" s="7" t="s">
        <v>41</v>
      </c>
      <c r="I462" s="6" t="s">
        <v>25</v>
      </c>
      <c r="J462" s="6"/>
      <c r="K462" s="6"/>
      <c r="L462" s="6" t="s">
        <v>226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45188.620696083293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  <c r="AE462" s="10">
        <v>0</v>
      </c>
      <c r="AF462" s="10">
        <v>0</v>
      </c>
      <c r="AG462" s="10">
        <v>0</v>
      </c>
      <c r="AH462" s="10">
        <v>0</v>
      </c>
      <c r="AI462" s="10">
        <v>0</v>
      </c>
      <c r="AJ462" s="10">
        <v>45188.620696083293</v>
      </c>
      <c r="AK462" s="10">
        <v>45188.620696083293</v>
      </c>
      <c r="AL462" s="10">
        <v>45188.620696083293</v>
      </c>
      <c r="AM462" s="10">
        <v>0</v>
      </c>
      <c r="AN462" s="10">
        <v>0</v>
      </c>
      <c r="AO462" s="10">
        <v>0</v>
      </c>
      <c r="AP462" s="16">
        <f t="shared" si="8"/>
        <v>90377.241392166587</v>
      </c>
    </row>
    <row r="463" spans="1:42" x14ac:dyDescent="0.25">
      <c r="A463" s="6" t="s">
        <v>58</v>
      </c>
      <c r="B463" s="6" t="s">
        <v>18</v>
      </c>
      <c r="C463" s="6" t="s">
        <v>19</v>
      </c>
      <c r="D463" s="7" t="s">
        <v>20</v>
      </c>
      <c r="E463" s="7" t="s">
        <v>21</v>
      </c>
      <c r="F463" s="7" t="s">
        <v>22</v>
      </c>
      <c r="G463" s="7" t="s">
        <v>23</v>
      </c>
      <c r="H463" s="7" t="s">
        <v>59</v>
      </c>
      <c r="I463" s="6" t="s">
        <v>25</v>
      </c>
      <c r="J463" s="6"/>
      <c r="K463" s="6"/>
      <c r="L463" s="6" t="s">
        <v>226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35385.916588107299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  <c r="AG463" s="10">
        <v>0</v>
      </c>
      <c r="AH463" s="10">
        <v>0</v>
      </c>
      <c r="AI463" s="10">
        <v>0</v>
      </c>
      <c r="AJ463" s="10">
        <v>35385.916588107299</v>
      </c>
      <c r="AK463" s="10">
        <v>35385.916588107299</v>
      </c>
      <c r="AL463" s="10">
        <v>35385.916588107299</v>
      </c>
      <c r="AM463" s="10">
        <v>0</v>
      </c>
      <c r="AN463" s="10">
        <v>0</v>
      </c>
      <c r="AO463" s="10">
        <v>0</v>
      </c>
      <c r="AP463" s="16">
        <f t="shared" si="8"/>
        <v>70771.833176214597</v>
      </c>
    </row>
    <row r="464" spans="1:42" x14ac:dyDescent="0.25">
      <c r="A464" s="6" t="s">
        <v>42</v>
      </c>
      <c r="B464" s="6" t="s">
        <v>18</v>
      </c>
      <c r="C464" s="6" t="s">
        <v>19</v>
      </c>
      <c r="D464" s="7" t="s">
        <v>20</v>
      </c>
      <c r="E464" s="7" t="s">
        <v>21</v>
      </c>
      <c r="F464" s="7" t="s">
        <v>22</v>
      </c>
      <c r="G464" s="7" t="s">
        <v>23</v>
      </c>
      <c r="H464" s="7" t="s">
        <v>43</v>
      </c>
      <c r="I464" s="6" t="s">
        <v>25</v>
      </c>
      <c r="J464" s="6"/>
      <c r="K464" s="6"/>
      <c r="L464" s="6" t="s">
        <v>226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437049.11967145151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  <c r="AG464" s="10">
        <v>0</v>
      </c>
      <c r="AH464" s="10">
        <v>0</v>
      </c>
      <c r="AI464" s="10">
        <v>0</v>
      </c>
      <c r="AJ464" s="10">
        <v>437049.11967145151</v>
      </c>
      <c r="AK464" s="10">
        <v>437049.11967145151</v>
      </c>
      <c r="AL464" s="10">
        <v>437049.11967145151</v>
      </c>
      <c r="AM464" s="10">
        <v>0</v>
      </c>
      <c r="AN464" s="10">
        <v>0</v>
      </c>
      <c r="AO464" s="10">
        <v>0</v>
      </c>
      <c r="AP464" s="16">
        <f t="shared" si="8"/>
        <v>874098.23934290302</v>
      </c>
    </row>
    <row r="465" spans="1:42" x14ac:dyDescent="0.25">
      <c r="A465" s="6" t="s">
        <v>17</v>
      </c>
      <c r="B465" s="6" t="s">
        <v>18</v>
      </c>
      <c r="C465" s="6" t="s">
        <v>19</v>
      </c>
      <c r="D465" s="7" t="s">
        <v>20</v>
      </c>
      <c r="E465" s="7" t="s">
        <v>21</v>
      </c>
      <c r="F465" s="7" t="s">
        <v>22</v>
      </c>
      <c r="G465" s="7" t="s">
        <v>23</v>
      </c>
      <c r="H465" s="7" t="s">
        <v>24</v>
      </c>
      <c r="I465" s="6" t="s">
        <v>25</v>
      </c>
      <c r="J465" s="6"/>
      <c r="K465" s="6"/>
      <c r="L465" s="6" t="s">
        <v>227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26977.975594491905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  <c r="AG465" s="10">
        <v>0</v>
      </c>
      <c r="AH465" s="10">
        <v>0</v>
      </c>
      <c r="AI465" s="10">
        <v>26977.975594491905</v>
      </c>
      <c r="AJ465" s="10">
        <v>0</v>
      </c>
      <c r="AK465" s="10">
        <v>26977.975594491905</v>
      </c>
      <c r="AL465" s="10">
        <v>26977.975594491905</v>
      </c>
      <c r="AM465" s="10">
        <v>0</v>
      </c>
      <c r="AN465" s="10">
        <v>0</v>
      </c>
      <c r="AO465" s="10">
        <v>0</v>
      </c>
      <c r="AP465" s="16">
        <f t="shared" si="8"/>
        <v>53955.95118898381</v>
      </c>
    </row>
    <row r="466" spans="1:42" x14ac:dyDescent="0.25">
      <c r="A466" s="6" t="s">
        <v>28</v>
      </c>
      <c r="B466" s="6" t="s">
        <v>18</v>
      </c>
      <c r="C466" s="6" t="s">
        <v>19</v>
      </c>
      <c r="D466" s="7" t="s">
        <v>20</v>
      </c>
      <c r="E466" s="7" t="s">
        <v>21</v>
      </c>
      <c r="F466" s="7" t="s">
        <v>22</v>
      </c>
      <c r="G466" s="7" t="s">
        <v>23</v>
      </c>
      <c r="H466" s="7" t="s">
        <v>29</v>
      </c>
      <c r="I466" s="6" t="s">
        <v>25</v>
      </c>
      <c r="J466" s="6"/>
      <c r="K466" s="6"/>
      <c r="L466" s="6" t="s">
        <v>227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3695979.0092649902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  <c r="AG466" s="10">
        <v>0</v>
      </c>
      <c r="AH466" s="10">
        <v>0</v>
      </c>
      <c r="AI466" s="10">
        <v>3695979.0092649902</v>
      </c>
      <c r="AJ466" s="10">
        <v>0</v>
      </c>
      <c r="AK466" s="10">
        <v>3695979.0092649902</v>
      </c>
      <c r="AL466" s="10">
        <v>3695979.0092649902</v>
      </c>
      <c r="AM466" s="10">
        <v>0</v>
      </c>
      <c r="AN466" s="10">
        <v>0</v>
      </c>
      <c r="AO466" s="10">
        <v>0</v>
      </c>
      <c r="AP466" s="16">
        <f t="shared" si="8"/>
        <v>7391958.0185299804</v>
      </c>
    </row>
    <row r="467" spans="1:42" x14ac:dyDescent="0.25">
      <c r="A467" s="6" t="s">
        <v>30</v>
      </c>
      <c r="B467" s="6" t="s">
        <v>18</v>
      </c>
      <c r="C467" s="6" t="s">
        <v>19</v>
      </c>
      <c r="D467" s="7" t="s">
        <v>20</v>
      </c>
      <c r="E467" s="7" t="s">
        <v>21</v>
      </c>
      <c r="F467" s="7" t="s">
        <v>22</v>
      </c>
      <c r="G467" s="7" t="s">
        <v>23</v>
      </c>
      <c r="H467" s="7" t="s">
        <v>31</v>
      </c>
      <c r="I467" s="6" t="s">
        <v>25</v>
      </c>
      <c r="J467" s="6"/>
      <c r="K467" s="6"/>
      <c r="L467" s="6" t="s">
        <v>227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546247.56833465141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0</v>
      </c>
      <c r="AE467" s="10">
        <v>0</v>
      </c>
      <c r="AF467" s="10">
        <v>0</v>
      </c>
      <c r="AG467" s="10">
        <v>0</v>
      </c>
      <c r="AH467" s="10">
        <v>0</v>
      </c>
      <c r="AI467" s="10">
        <v>546247.56833465141</v>
      </c>
      <c r="AJ467" s="10">
        <v>0</v>
      </c>
      <c r="AK467" s="10">
        <v>546247.56833465141</v>
      </c>
      <c r="AL467" s="10">
        <v>546247.56833465141</v>
      </c>
      <c r="AM467" s="10">
        <v>0</v>
      </c>
      <c r="AN467" s="10">
        <v>0</v>
      </c>
      <c r="AO467" s="10">
        <v>0</v>
      </c>
      <c r="AP467" s="16">
        <f t="shared" si="8"/>
        <v>1092495.1366693028</v>
      </c>
    </row>
    <row r="468" spans="1:42" x14ac:dyDescent="0.25">
      <c r="A468" s="6" t="s">
        <v>32</v>
      </c>
      <c r="B468" s="6" t="s">
        <v>18</v>
      </c>
      <c r="C468" s="6" t="s">
        <v>19</v>
      </c>
      <c r="D468" s="7" t="s">
        <v>20</v>
      </c>
      <c r="E468" s="7" t="s">
        <v>21</v>
      </c>
      <c r="F468" s="7" t="s">
        <v>22</v>
      </c>
      <c r="G468" s="7" t="s">
        <v>23</v>
      </c>
      <c r="H468" s="7" t="s">
        <v>33</v>
      </c>
      <c r="I468" s="6" t="s">
        <v>25</v>
      </c>
      <c r="J468" s="6"/>
      <c r="K468" s="6"/>
      <c r="L468" s="6" t="s">
        <v>227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434408.48474264459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  <c r="AG468" s="10">
        <v>0</v>
      </c>
      <c r="AH468" s="10">
        <v>0</v>
      </c>
      <c r="AI468" s="10">
        <v>434408.48474264459</v>
      </c>
      <c r="AJ468" s="10">
        <v>0</v>
      </c>
      <c r="AK468" s="10">
        <v>434408.48474264459</v>
      </c>
      <c r="AL468" s="10">
        <v>434408.48474264459</v>
      </c>
      <c r="AM468" s="10">
        <v>0</v>
      </c>
      <c r="AN468" s="10">
        <v>0</v>
      </c>
      <c r="AO468" s="10">
        <v>0</v>
      </c>
      <c r="AP468" s="16">
        <f t="shared" si="8"/>
        <v>868816.96948528918</v>
      </c>
    </row>
    <row r="469" spans="1:42" x14ac:dyDescent="0.25">
      <c r="A469" s="6" t="s">
        <v>34</v>
      </c>
      <c r="B469" s="6" t="s">
        <v>18</v>
      </c>
      <c r="C469" s="6" t="s">
        <v>19</v>
      </c>
      <c r="D469" s="7" t="s">
        <v>20</v>
      </c>
      <c r="E469" s="7" t="s">
        <v>21</v>
      </c>
      <c r="F469" s="7" t="s">
        <v>22</v>
      </c>
      <c r="G469" s="7" t="s">
        <v>23</v>
      </c>
      <c r="H469" s="7" t="s">
        <v>35</v>
      </c>
      <c r="I469" s="6" t="s">
        <v>25</v>
      </c>
      <c r="J469" s="6"/>
      <c r="K469" s="6"/>
      <c r="L469" s="6" t="s">
        <v>227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2314761.2462209864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  <c r="AG469" s="10">
        <v>0</v>
      </c>
      <c r="AH469" s="10">
        <v>0</v>
      </c>
      <c r="AI469" s="10">
        <v>2314761.2462209864</v>
      </c>
      <c r="AJ469" s="10">
        <v>0</v>
      </c>
      <c r="AK469" s="10">
        <v>2314761.2462209864</v>
      </c>
      <c r="AL469" s="10">
        <v>2314761.2462209864</v>
      </c>
      <c r="AM469" s="10">
        <v>0</v>
      </c>
      <c r="AN469" s="10">
        <v>0</v>
      </c>
      <c r="AO469" s="10">
        <v>0</v>
      </c>
      <c r="AP469" s="16">
        <f t="shared" si="8"/>
        <v>4629522.4924419727</v>
      </c>
    </row>
    <row r="470" spans="1:42" x14ac:dyDescent="0.25">
      <c r="A470" s="6" t="s">
        <v>36</v>
      </c>
      <c r="B470" s="6" t="s">
        <v>18</v>
      </c>
      <c r="C470" s="6" t="s">
        <v>19</v>
      </c>
      <c r="D470" s="7" t="s">
        <v>20</v>
      </c>
      <c r="E470" s="7" t="s">
        <v>21</v>
      </c>
      <c r="F470" s="7" t="s">
        <v>22</v>
      </c>
      <c r="G470" s="7" t="s">
        <v>23</v>
      </c>
      <c r="H470" s="7" t="s">
        <v>37</v>
      </c>
      <c r="I470" s="6" t="s">
        <v>25</v>
      </c>
      <c r="J470" s="6"/>
      <c r="K470" s="6"/>
      <c r="L470" s="6" t="s">
        <v>227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188049.54122878439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  <c r="AC470" s="10">
        <v>0</v>
      </c>
      <c r="AD470" s="10">
        <v>0</v>
      </c>
      <c r="AE470" s="10">
        <v>0</v>
      </c>
      <c r="AF470" s="10">
        <v>0</v>
      </c>
      <c r="AG470" s="10">
        <v>0</v>
      </c>
      <c r="AH470" s="10">
        <v>0</v>
      </c>
      <c r="AI470" s="10">
        <v>188049.54122878439</v>
      </c>
      <c r="AJ470" s="10">
        <v>0</v>
      </c>
      <c r="AK470" s="10">
        <v>188049.54122878439</v>
      </c>
      <c r="AL470" s="10">
        <v>188049.54122878439</v>
      </c>
      <c r="AM470" s="10">
        <v>0</v>
      </c>
      <c r="AN470" s="10">
        <v>0</v>
      </c>
      <c r="AO470" s="10">
        <v>0</v>
      </c>
      <c r="AP470" s="16">
        <f t="shared" si="8"/>
        <v>376099.08245756879</v>
      </c>
    </row>
    <row r="471" spans="1:42" x14ac:dyDescent="0.25">
      <c r="A471" s="6" t="s">
        <v>38</v>
      </c>
      <c r="B471" s="6" t="s">
        <v>18</v>
      </c>
      <c r="C471" s="6" t="s">
        <v>19</v>
      </c>
      <c r="D471" s="7" t="s">
        <v>20</v>
      </c>
      <c r="E471" s="7" t="s">
        <v>21</v>
      </c>
      <c r="F471" s="7" t="s">
        <v>22</v>
      </c>
      <c r="G471" s="7" t="s">
        <v>23</v>
      </c>
      <c r="H471" s="7" t="s">
        <v>39</v>
      </c>
      <c r="I471" s="6" t="s">
        <v>25</v>
      </c>
      <c r="J471" s="6"/>
      <c r="K471" s="6"/>
      <c r="L471" s="6" t="s">
        <v>227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1346810.9776344632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D471" s="10">
        <v>0</v>
      </c>
      <c r="AE471" s="10">
        <v>0</v>
      </c>
      <c r="AF471" s="10">
        <v>0</v>
      </c>
      <c r="AG471" s="10">
        <v>0</v>
      </c>
      <c r="AH471" s="10">
        <v>0</v>
      </c>
      <c r="AI471" s="10">
        <v>1346810.9776344632</v>
      </c>
      <c r="AJ471" s="10">
        <v>0</v>
      </c>
      <c r="AK471" s="10">
        <v>1346810.9776344632</v>
      </c>
      <c r="AL471" s="10">
        <v>1346810.9776344632</v>
      </c>
      <c r="AM471" s="10">
        <v>0</v>
      </c>
      <c r="AN471" s="10">
        <v>0</v>
      </c>
      <c r="AO471" s="10">
        <v>0</v>
      </c>
      <c r="AP471" s="16">
        <f t="shared" si="8"/>
        <v>2693621.9552689265</v>
      </c>
    </row>
    <row r="472" spans="1:42" x14ac:dyDescent="0.25">
      <c r="A472" s="6" t="s">
        <v>40</v>
      </c>
      <c r="B472" s="6" t="s">
        <v>18</v>
      </c>
      <c r="C472" s="6" t="s">
        <v>19</v>
      </c>
      <c r="D472" s="7" t="s">
        <v>20</v>
      </c>
      <c r="E472" s="7" t="s">
        <v>21</v>
      </c>
      <c r="F472" s="7" t="s">
        <v>22</v>
      </c>
      <c r="G472" s="7" t="s">
        <v>23</v>
      </c>
      <c r="H472" s="7" t="s">
        <v>41</v>
      </c>
      <c r="I472" s="6" t="s">
        <v>25</v>
      </c>
      <c r="J472" s="6"/>
      <c r="K472" s="6"/>
      <c r="L472" s="6" t="s">
        <v>227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29213.463073720683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  <c r="AG472" s="10">
        <v>0</v>
      </c>
      <c r="AH472" s="10">
        <v>0</v>
      </c>
      <c r="AI472" s="10">
        <v>29213.463073720683</v>
      </c>
      <c r="AJ472" s="10">
        <v>0</v>
      </c>
      <c r="AK472" s="10">
        <v>29213.463073720683</v>
      </c>
      <c r="AL472" s="10">
        <v>29213.463073720683</v>
      </c>
      <c r="AM472" s="10">
        <v>0</v>
      </c>
      <c r="AN472" s="10">
        <v>0</v>
      </c>
      <c r="AO472" s="10">
        <v>0</v>
      </c>
      <c r="AP472" s="16">
        <f t="shared" si="8"/>
        <v>58426.926147441365</v>
      </c>
    </row>
    <row r="473" spans="1:42" x14ac:dyDescent="0.25">
      <c r="A473" s="6" t="s">
        <v>58</v>
      </c>
      <c r="B473" s="6" t="s">
        <v>18</v>
      </c>
      <c r="C473" s="6" t="s">
        <v>19</v>
      </c>
      <c r="D473" s="7" t="s">
        <v>20</v>
      </c>
      <c r="E473" s="7" t="s">
        <v>21</v>
      </c>
      <c r="F473" s="7" t="s">
        <v>22</v>
      </c>
      <c r="G473" s="7" t="s">
        <v>23</v>
      </c>
      <c r="H473" s="7" t="s">
        <v>59</v>
      </c>
      <c r="I473" s="6" t="s">
        <v>25</v>
      </c>
      <c r="J473" s="6"/>
      <c r="K473" s="6"/>
      <c r="L473" s="6" t="s">
        <v>227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22876.227502691443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0</v>
      </c>
      <c r="AE473" s="10">
        <v>0</v>
      </c>
      <c r="AF473" s="10">
        <v>0</v>
      </c>
      <c r="AG473" s="10">
        <v>0</v>
      </c>
      <c r="AH473" s="10">
        <v>0</v>
      </c>
      <c r="AI473" s="10">
        <v>22876.227502691443</v>
      </c>
      <c r="AJ473" s="10">
        <v>0</v>
      </c>
      <c r="AK473" s="10">
        <v>22876.227502691443</v>
      </c>
      <c r="AL473" s="10">
        <v>22876.227502691443</v>
      </c>
      <c r="AM473" s="10">
        <v>0</v>
      </c>
      <c r="AN473" s="10">
        <v>0</v>
      </c>
      <c r="AO473" s="10">
        <v>0</v>
      </c>
      <c r="AP473" s="16">
        <f t="shared" si="8"/>
        <v>45752.455005382886</v>
      </c>
    </row>
    <row r="474" spans="1:42" x14ac:dyDescent="0.25">
      <c r="A474" s="6" t="s">
        <v>42</v>
      </c>
      <c r="B474" s="6" t="s">
        <v>18</v>
      </c>
      <c r="C474" s="6" t="s">
        <v>19</v>
      </c>
      <c r="D474" s="7" t="s">
        <v>20</v>
      </c>
      <c r="E474" s="7" t="s">
        <v>21</v>
      </c>
      <c r="F474" s="7" t="s">
        <v>22</v>
      </c>
      <c r="G474" s="7" t="s">
        <v>23</v>
      </c>
      <c r="H474" s="7" t="s">
        <v>43</v>
      </c>
      <c r="I474" s="6" t="s">
        <v>25</v>
      </c>
      <c r="J474" s="6"/>
      <c r="K474" s="6"/>
      <c r="L474" s="6" t="s">
        <v>227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292308.63450367114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  <c r="AE474" s="10">
        <v>0</v>
      </c>
      <c r="AF474" s="10">
        <v>0</v>
      </c>
      <c r="AG474" s="10">
        <v>0</v>
      </c>
      <c r="AH474" s="10">
        <v>0</v>
      </c>
      <c r="AI474" s="10">
        <v>292308.63450367114</v>
      </c>
      <c r="AJ474" s="10">
        <v>0</v>
      </c>
      <c r="AK474" s="10">
        <v>292308.63450367114</v>
      </c>
      <c r="AL474" s="10">
        <v>292308.63450367114</v>
      </c>
      <c r="AM474" s="10">
        <v>0</v>
      </c>
      <c r="AN474" s="10">
        <v>0</v>
      </c>
      <c r="AO474" s="10">
        <v>0</v>
      </c>
      <c r="AP474" s="16">
        <f t="shared" si="8"/>
        <v>584617.26900734229</v>
      </c>
    </row>
    <row r="475" spans="1:42" x14ac:dyDescent="0.25">
      <c r="A475" s="6" t="s">
        <v>28</v>
      </c>
      <c r="B475" s="6" t="s">
        <v>18</v>
      </c>
      <c r="C475" s="6" t="s">
        <v>62</v>
      </c>
      <c r="D475" s="7" t="s">
        <v>63</v>
      </c>
      <c r="E475" s="7" t="s">
        <v>21</v>
      </c>
      <c r="F475" s="7" t="s">
        <v>64</v>
      </c>
      <c r="G475" s="7" t="s">
        <v>23</v>
      </c>
      <c r="H475" s="7" t="s">
        <v>65</v>
      </c>
      <c r="I475" s="6" t="s">
        <v>66</v>
      </c>
      <c r="J475" s="6"/>
      <c r="K475" s="6"/>
      <c r="L475" s="6" t="s">
        <v>228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2155331.6984287249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  <c r="AG475" s="10">
        <v>0</v>
      </c>
      <c r="AH475" s="10">
        <v>0</v>
      </c>
      <c r="AI475" s="10">
        <v>0</v>
      </c>
      <c r="AJ475" s="10">
        <v>3507644.8043363076</v>
      </c>
      <c r="AK475" s="10">
        <v>2155331.6984287249</v>
      </c>
      <c r="AL475" s="10">
        <v>3507644.8043363076</v>
      </c>
      <c r="AM475" s="10">
        <v>2630733.6032522302</v>
      </c>
      <c r="AN475" s="10">
        <v>0</v>
      </c>
      <c r="AO475" s="10">
        <v>0</v>
      </c>
      <c r="AP475" s="16">
        <f t="shared" si="8"/>
        <v>8293710.1060172627</v>
      </c>
    </row>
    <row r="476" spans="1:42" x14ac:dyDescent="0.25">
      <c r="A476" s="6" t="s">
        <v>30</v>
      </c>
      <c r="B476" s="6" t="s">
        <v>18</v>
      </c>
      <c r="C476" s="6" t="s">
        <v>62</v>
      </c>
      <c r="D476" s="7" t="s">
        <v>63</v>
      </c>
      <c r="E476" s="7" t="s">
        <v>21</v>
      </c>
      <c r="F476" s="7" t="s">
        <v>64</v>
      </c>
      <c r="G476" s="7" t="s">
        <v>23</v>
      </c>
      <c r="H476" s="7" t="s">
        <v>69</v>
      </c>
      <c r="I476" s="6" t="s">
        <v>66</v>
      </c>
      <c r="J476" s="6"/>
      <c r="K476" s="6"/>
      <c r="L476" s="6" t="s">
        <v>228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841215.95824749838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  <c r="AE476" s="10">
        <v>0</v>
      </c>
      <c r="AF476" s="10">
        <v>0</v>
      </c>
      <c r="AG476" s="10">
        <v>0</v>
      </c>
      <c r="AH476" s="10">
        <v>0</v>
      </c>
      <c r="AI476" s="10">
        <v>0</v>
      </c>
      <c r="AJ476" s="10">
        <v>1369017.4869245079</v>
      </c>
      <c r="AK476" s="10">
        <v>841215.95824749838</v>
      </c>
      <c r="AL476" s="10">
        <v>1369017.4869245079</v>
      </c>
      <c r="AM476" s="10">
        <v>1026763.1151933809</v>
      </c>
      <c r="AN476" s="10">
        <v>0</v>
      </c>
      <c r="AO476" s="10">
        <v>0</v>
      </c>
      <c r="AP476" s="16">
        <f t="shared" si="8"/>
        <v>3236996.5603653872</v>
      </c>
    </row>
    <row r="477" spans="1:42" x14ac:dyDescent="0.25">
      <c r="A477" s="6" t="s">
        <v>32</v>
      </c>
      <c r="B477" s="6" t="s">
        <v>18</v>
      </c>
      <c r="C477" s="6" t="s">
        <v>62</v>
      </c>
      <c r="D477" s="7" t="s">
        <v>63</v>
      </c>
      <c r="E477" s="7" t="s">
        <v>21</v>
      </c>
      <c r="F477" s="7" t="s">
        <v>64</v>
      </c>
      <c r="G477" s="7" t="s">
        <v>23</v>
      </c>
      <c r="H477" s="7" t="s">
        <v>70</v>
      </c>
      <c r="I477" s="6" t="s">
        <v>66</v>
      </c>
      <c r="J477" s="6"/>
      <c r="K477" s="6"/>
      <c r="L477" s="6" t="s">
        <v>228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218261.43781556716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  <c r="AG477" s="10">
        <v>0</v>
      </c>
      <c r="AH477" s="10">
        <v>0</v>
      </c>
      <c r="AI477" s="10">
        <v>0</v>
      </c>
      <c r="AJ477" s="10">
        <v>355204.53714798047</v>
      </c>
      <c r="AK477" s="10">
        <v>218261.43781556716</v>
      </c>
      <c r="AL477" s="10">
        <v>355204.53714798047</v>
      </c>
      <c r="AM477" s="10">
        <v>266403.40286098531</v>
      </c>
      <c r="AN477" s="10">
        <v>0</v>
      </c>
      <c r="AO477" s="10">
        <v>0</v>
      </c>
      <c r="AP477" s="16">
        <f t="shared" si="8"/>
        <v>839869.37782453303</v>
      </c>
    </row>
    <row r="478" spans="1:42" x14ac:dyDescent="0.25">
      <c r="A478" s="6" t="s">
        <v>34</v>
      </c>
      <c r="B478" s="6" t="s">
        <v>18</v>
      </c>
      <c r="C478" s="6" t="s">
        <v>62</v>
      </c>
      <c r="D478" s="7" t="s">
        <v>63</v>
      </c>
      <c r="E478" s="7" t="s">
        <v>21</v>
      </c>
      <c r="F478" s="7" t="s">
        <v>64</v>
      </c>
      <c r="G478" s="7" t="s">
        <v>23</v>
      </c>
      <c r="H478" s="7" t="s">
        <v>71</v>
      </c>
      <c r="I478" s="6" t="s">
        <v>66</v>
      </c>
      <c r="J478" s="6"/>
      <c r="K478" s="6"/>
      <c r="L478" s="6" t="s">
        <v>228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1332304.1933325243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  <c r="AG478" s="10">
        <v>0</v>
      </c>
      <c r="AH478" s="10">
        <v>0</v>
      </c>
      <c r="AI478" s="10">
        <v>0</v>
      </c>
      <c r="AJ478" s="10">
        <v>2168227.695507464</v>
      </c>
      <c r="AK478" s="10">
        <v>1332304.1933325243</v>
      </c>
      <c r="AL478" s="10">
        <v>2168227.695507464</v>
      </c>
      <c r="AM478" s="10">
        <v>1626170.7716305978</v>
      </c>
      <c r="AN478" s="10">
        <v>0</v>
      </c>
      <c r="AO478" s="10">
        <v>0</v>
      </c>
      <c r="AP478" s="16">
        <f t="shared" si="8"/>
        <v>5126702.6604705863</v>
      </c>
    </row>
    <row r="479" spans="1:42" x14ac:dyDescent="0.25">
      <c r="A479" s="6" t="s">
        <v>17</v>
      </c>
      <c r="B479" s="6" t="s">
        <v>18</v>
      </c>
      <c r="C479" s="6" t="s">
        <v>62</v>
      </c>
      <c r="D479" s="7" t="s">
        <v>63</v>
      </c>
      <c r="E479" s="7" t="s">
        <v>21</v>
      </c>
      <c r="F479" s="7" t="s">
        <v>64</v>
      </c>
      <c r="G479" s="7" t="s">
        <v>23</v>
      </c>
      <c r="H479" s="7" t="s">
        <v>229</v>
      </c>
      <c r="I479" s="6" t="s">
        <v>66</v>
      </c>
      <c r="J479" s="6"/>
      <c r="K479" s="6"/>
      <c r="L479" s="6" t="s">
        <v>230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3162.3485126712635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  <c r="AG479" s="10">
        <v>0</v>
      </c>
      <c r="AH479" s="10">
        <v>0</v>
      </c>
      <c r="AI479" s="10">
        <v>0</v>
      </c>
      <c r="AJ479" s="10">
        <v>0</v>
      </c>
      <c r="AK479" s="10">
        <v>3162.3485126712635</v>
      </c>
      <c r="AL479" s="10">
        <v>0</v>
      </c>
      <c r="AM479" s="10">
        <v>0</v>
      </c>
      <c r="AN479" s="10">
        <v>0</v>
      </c>
      <c r="AO479" s="10">
        <v>0</v>
      </c>
      <c r="AP479" s="16">
        <f t="shared" si="8"/>
        <v>3162.3485126712635</v>
      </c>
    </row>
    <row r="480" spans="1:42" x14ac:dyDescent="0.25">
      <c r="A480" s="6" t="s">
        <v>28</v>
      </c>
      <c r="B480" s="6" t="s">
        <v>18</v>
      </c>
      <c r="C480" s="6" t="s">
        <v>62</v>
      </c>
      <c r="D480" s="7" t="s">
        <v>63</v>
      </c>
      <c r="E480" s="7" t="s">
        <v>21</v>
      </c>
      <c r="F480" s="7" t="s">
        <v>64</v>
      </c>
      <c r="G480" s="7" t="s">
        <v>23</v>
      </c>
      <c r="H480" s="7" t="s">
        <v>65</v>
      </c>
      <c r="I480" s="6" t="s">
        <v>66</v>
      </c>
      <c r="J480" s="6"/>
      <c r="K480" s="6"/>
      <c r="L480" s="6" t="s">
        <v>230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982541.68288696127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  <c r="AG480" s="10">
        <v>0</v>
      </c>
      <c r="AH480" s="10">
        <v>0</v>
      </c>
      <c r="AI480" s="10">
        <v>0</v>
      </c>
      <c r="AJ480" s="10">
        <v>0</v>
      </c>
      <c r="AK480" s="10">
        <v>982541.68288696127</v>
      </c>
      <c r="AL480" s="10">
        <v>0</v>
      </c>
      <c r="AM480" s="10">
        <v>0</v>
      </c>
      <c r="AN480" s="10">
        <v>0</v>
      </c>
      <c r="AO480" s="10">
        <v>0</v>
      </c>
      <c r="AP480" s="16">
        <f t="shared" si="8"/>
        <v>982541.68288696127</v>
      </c>
    </row>
    <row r="481" spans="1:42" x14ac:dyDescent="0.25">
      <c r="A481" s="6" t="s">
        <v>30</v>
      </c>
      <c r="B481" s="6" t="s">
        <v>18</v>
      </c>
      <c r="C481" s="6" t="s">
        <v>62</v>
      </c>
      <c r="D481" s="7" t="s">
        <v>63</v>
      </c>
      <c r="E481" s="7" t="s">
        <v>21</v>
      </c>
      <c r="F481" s="7" t="s">
        <v>64</v>
      </c>
      <c r="G481" s="7" t="s">
        <v>23</v>
      </c>
      <c r="H481" s="7" t="s">
        <v>69</v>
      </c>
      <c r="I481" s="6" t="s">
        <v>66</v>
      </c>
      <c r="J481" s="6"/>
      <c r="K481" s="6"/>
      <c r="L481" s="6" t="s">
        <v>230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421541.05673907918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  <c r="AG481" s="10">
        <v>0</v>
      </c>
      <c r="AH481" s="10">
        <v>0</v>
      </c>
      <c r="AI481" s="10">
        <v>0</v>
      </c>
      <c r="AJ481" s="10">
        <v>0</v>
      </c>
      <c r="AK481" s="10">
        <v>421541.05673907918</v>
      </c>
      <c r="AL481" s="10">
        <v>0</v>
      </c>
      <c r="AM481" s="10">
        <v>0</v>
      </c>
      <c r="AN481" s="10">
        <v>0</v>
      </c>
      <c r="AO481" s="10">
        <v>0</v>
      </c>
      <c r="AP481" s="16">
        <f t="shared" si="8"/>
        <v>421541.05673907918</v>
      </c>
    </row>
    <row r="482" spans="1:42" x14ac:dyDescent="0.25">
      <c r="A482" s="6" t="s">
        <v>32</v>
      </c>
      <c r="B482" s="6" t="s">
        <v>18</v>
      </c>
      <c r="C482" s="6" t="s">
        <v>62</v>
      </c>
      <c r="D482" s="7" t="s">
        <v>63</v>
      </c>
      <c r="E482" s="7" t="s">
        <v>21</v>
      </c>
      <c r="F482" s="7" t="s">
        <v>64</v>
      </c>
      <c r="G482" s="7" t="s">
        <v>23</v>
      </c>
      <c r="H482" s="7" t="s">
        <v>70</v>
      </c>
      <c r="I482" s="6" t="s">
        <v>66</v>
      </c>
      <c r="J482" s="6"/>
      <c r="K482" s="6"/>
      <c r="L482" s="6" t="s">
        <v>230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91075.637164932385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  <c r="AG482" s="10">
        <v>0</v>
      </c>
      <c r="AH482" s="10">
        <v>0</v>
      </c>
      <c r="AI482" s="10">
        <v>0</v>
      </c>
      <c r="AJ482" s="10">
        <v>0</v>
      </c>
      <c r="AK482" s="10">
        <v>91075.637164932385</v>
      </c>
      <c r="AL482" s="10">
        <v>0</v>
      </c>
      <c r="AM482" s="10">
        <v>0</v>
      </c>
      <c r="AN482" s="10">
        <v>0</v>
      </c>
      <c r="AO482" s="10">
        <v>0</v>
      </c>
      <c r="AP482" s="16">
        <f t="shared" si="8"/>
        <v>91075.637164932385</v>
      </c>
    </row>
    <row r="483" spans="1:42" x14ac:dyDescent="0.25">
      <c r="A483" s="6" t="s">
        <v>34</v>
      </c>
      <c r="B483" s="6" t="s">
        <v>18</v>
      </c>
      <c r="C483" s="6" t="s">
        <v>62</v>
      </c>
      <c r="D483" s="7" t="s">
        <v>63</v>
      </c>
      <c r="E483" s="7" t="s">
        <v>21</v>
      </c>
      <c r="F483" s="7" t="s">
        <v>64</v>
      </c>
      <c r="G483" s="7" t="s">
        <v>23</v>
      </c>
      <c r="H483" s="7" t="s">
        <v>71</v>
      </c>
      <c r="I483" s="6" t="s">
        <v>66</v>
      </c>
      <c r="J483" s="6"/>
      <c r="K483" s="6"/>
      <c r="L483" s="6" t="s">
        <v>230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786792.30995261029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  <c r="AG483" s="10">
        <v>0</v>
      </c>
      <c r="AH483" s="10">
        <v>0</v>
      </c>
      <c r="AI483" s="10">
        <v>0</v>
      </c>
      <c r="AJ483" s="10">
        <v>0</v>
      </c>
      <c r="AK483" s="10">
        <v>786792.30995261029</v>
      </c>
      <c r="AL483" s="10">
        <v>0</v>
      </c>
      <c r="AM483" s="10">
        <v>0</v>
      </c>
      <c r="AN483" s="10">
        <v>0</v>
      </c>
      <c r="AO483" s="10">
        <v>0</v>
      </c>
      <c r="AP483" s="16">
        <f t="shared" si="8"/>
        <v>786792.30995261029</v>
      </c>
    </row>
    <row r="484" spans="1:42" x14ac:dyDescent="0.25">
      <c r="A484" s="6" t="s">
        <v>150</v>
      </c>
      <c r="B484" s="6" t="s">
        <v>18</v>
      </c>
      <c r="C484" s="6" t="s">
        <v>62</v>
      </c>
      <c r="D484" s="7" t="s">
        <v>63</v>
      </c>
      <c r="E484" s="7" t="s">
        <v>21</v>
      </c>
      <c r="F484" s="7" t="s">
        <v>64</v>
      </c>
      <c r="G484" s="7" t="s">
        <v>23</v>
      </c>
      <c r="H484" s="7" t="s">
        <v>231</v>
      </c>
      <c r="I484" s="6" t="s">
        <v>66</v>
      </c>
      <c r="J484" s="6"/>
      <c r="K484" s="6"/>
      <c r="L484" s="6" t="s">
        <v>230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44905.348879931938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  <c r="AG484" s="10">
        <v>0</v>
      </c>
      <c r="AH484" s="10">
        <v>0</v>
      </c>
      <c r="AI484" s="10">
        <v>0</v>
      </c>
      <c r="AJ484" s="10">
        <v>0</v>
      </c>
      <c r="AK484" s="10">
        <v>44905.348879931938</v>
      </c>
      <c r="AL484" s="10">
        <v>0</v>
      </c>
      <c r="AM484" s="10">
        <v>0</v>
      </c>
      <c r="AN484" s="10">
        <v>0</v>
      </c>
      <c r="AO484" s="10">
        <v>0</v>
      </c>
      <c r="AP484" s="16">
        <f t="shared" si="8"/>
        <v>44905.348879931938</v>
      </c>
    </row>
    <row r="485" spans="1:42" x14ac:dyDescent="0.25">
      <c r="A485" s="6" t="s">
        <v>38</v>
      </c>
      <c r="B485" s="6" t="s">
        <v>18</v>
      </c>
      <c r="C485" s="6" t="s">
        <v>62</v>
      </c>
      <c r="D485" s="7" t="s">
        <v>63</v>
      </c>
      <c r="E485" s="7" t="s">
        <v>21</v>
      </c>
      <c r="F485" s="7" t="s">
        <v>64</v>
      </c>
      <c r="G485" s="7" t="s">
        <v>23</v>
      </c>
      <c r="H485" s="7" t="s">
        <v>232</v>
      </c>
      <c r="I485" s="6" t="s">
        <v>66</v>
      </c>
      <c r="J485" s="6"/>
      <c r="K485" s="6"/>
      <c r="L485" s="6" t="s">
        <v>230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582504.59603404638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  <c r="AG485" s="10">
        <v>0</v>
      </c>
      <c r="AH485" s="10">
        <v>0</v>
      </c>
      <c r="AI485" s="10">
        <v>0</v>
      </c>
      <c r="AJ485" s="10">
        <v>0</v>
      </c>
      <c r="AK485" s="10">
        <v>582504.59603404638</v>
      </c>
      <c r="AL485" s="10">
        <v>0</v>
      </c>
      <c r="AM485" s="10">
        <v>0</v>
      </c>
      <c r="AN485" s="10">
        <v>0</v>
      </c>
      <c r="AO485" s="10">
        <v>0</v>
      </c>
      <c r="AP485" s="16">
        <f t="shared" si="8"/>
        <v>582504.59603404638</v>
      </c>
    </row>
    <row r="486" spans="1:42" x14ac:dyDescent="0.25">
      <c r="A486" s="6" t="s">
        <v>40</v>
      </c>
      <c r="B486" s="6" t="s">
        <v>18</v>
      </c>
      <c r="C486" s="6" t="s">
        <v>62</v>
      </c>
      <c r="D486" s="7" t="s">
        <v>63</v>
      </c>
      <c r="E486" s="7" t="s">
        <v>21</v>
      </c>
      <c r="F486" s="7" t="s">
        <v>64</v>
      </c>
      <c r="G486" s="7" t="s">
        <v>23</v>
      </c>
      <c r="H486" s="7" t="s">
        <v>233</v>
      </c>
      <c r="I486" s="6" t="s">
        <v>66</v>
      </c>
      <c r="J486" s="6"/>
      <c r="K486" s="6"/>
      <c r="L486" s="6" t="s">
        <v>230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44905.348879931938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  <c r="AG486" s="10">
        <v>0</v>
      </c>
      <c r="AH486" s="10">
        <v>0</v>
      </c>
      <c r="AI486" s="10">
        <v>0</v>
      </c>
      <c r="AJ486" s="10">
        <v>0</v>
      </c>
      <c r="AK486" s="10">
        <v>44905.348879931938</v>
      </c>
      <c r="AL486" s="10">
        <v>0</v>
      </c>
      <c r="AM486" s="10">
        <v>0</v>
      </c>
      <c r="AN486" s="10">
        <v>0</v>
      </c>
      <c r="AO486" s="10">
        <v>0</v>
      </c>
      <c r="AP486" s="16">
        <f t="shared" si="8"/>
        <v>44905.348879931938</v>
      </c>
    </row>
    <row r="487" spans="1:42" x14ac:dyDescent="0.25">
      <c r="A487" s="6" t="s">
        <v>36</v>
      </c>
      <c r="B487" s="6" t="s">
        <v>18</v>
      </c>
      <c r="C487" s="6" t="s">
        <v>62</v>
      </c>
      <c r="D487" s="7" t="s">
        <v>63</v>
      </c>
      <c r="E487" s="7" t="s">
        <v>21</v>
      </c>
      <c r="F487" s="7" t="s">
        <v>64</v>
      </c>
      <c r="G487" s="7" t="s">
        <v>23</v>
      </c>
      <c r="H487" s="7" t="s">
        <v>234</v>
      </c>
      <c r="I487" s="6" t="s">
        <v>66</v>
      </c>
      <c r="J487" s="6"/>
      <c r="K487" s="6"/>
      <c r="L487" s="6" t="s">
        <v>230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7589.6364304110293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  <c r="AG487" s="10">
        <v>0</v>
      </c>
      <c r="AH487" s="10">
        <v>0</v>
      </c>
      <c r="AI487" s="10">
        <v>0</v>
      </c>
      <c r="AJ487" s="10">
        <v>0</v>
      </c>
      <c r="AK487" s="10">
        <v>7589.6364304110293</v>
      </c>
      <c r="AL487" s="10">
        <v>0</v>
      </c>
      <c r="AM487" s="10">
        <v>0</v>
      </c>
      <c r="AN487" s="10">
        <v>0</v>
      </c>
      <c r="AO487" s="10">
        <v>0</v>
      </c>
      <c r="AP487" s="16">
        <f t="shared" si="8"/>
        <v>7589.6364304110293</v>
      </c>
    </row>
    <row r="488" spans="1:42" x14ac:dyDescent="0.25">
      <c r="A488" s="6" t="s">
        <v>42</v>
      </c>
      <c r="B488" s="6" t="s">
        <v>18</v>
      </c>
      <c r="C488" s="6" t="s">
        <v>62</v>
      </c>
      <c r="D488" s="7" t="s">
        <v>63</v>
      </c>
      <c r="E488" s="7" t="s">
        <v>21</v>
      </c>
      <c r="F488" s="7" t="s">
        <v>64</v>
      </c>
      <c r="G488" s="7" t="s">
        <v>23</v>
      </c>
      <c r="H488" s="7" t="s">
        <v>128</v>
      </c>
      <c r="I488" s="6" t="s">
        <v>66</v>
      </c>
      <c r="J488" s="6"/>
      <c r="K488" s="6"/>
      <c r="L488" s="6" t="s">
        <v>230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197330.5471906868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  <c r="AE488" s="10">
        <v>0</v>
      </c>
      <c r="AF488" s="10">
        <v>0</v>
      </c>
      <c r="AG488" s="10">
        <v>0</v>
      </c>
      <c r="AH488" s="10">
        <v>0</v>
      </c>
      <c r="AI488" s="10">
        <v>0</v>
      </c>
      <c r="AJ488" s="10">
        <v>0</v>
      </c>
      <c r="AK488" s="10">
        <v>197330.5471906868</v>
      </c>
      <c r="AL488" s="10">
        <v>0</v>
      </c>
      <c r="AM488" s="10">
        <v>0</v>
      </c>
      <c r="AN488" s="10">
        <v>0</v>
      </c>
      <c r="AO488" s="10">
        <v>0</v>
      </c>
      <c r="AP488" s="16">
        <f t="shared" si="8"/>
        <v>197330.5471906868</v>
      </c>
    </row>
    <row r="489" spans="1:42" x14ac:dyDescent="0.25">
      <c r="A489" s="6" t="s">
        <v>28</v>
      </c>
      <c r="B489" s="6" t="s">
        <v>18</v>
      </c>
      <c r="C489" s="6" t="s">
        <v>62</v>
      </c>
      <c r="D489" s="7" t="s">
        <v>63</v>
      </c>
      <c r="E489" s="7" t="s">
        <v>21</v>
      </c>
      <c r="F489" s="7" t="s">
        <v>64</v>
      </c>
      <c r="G489" s="7" t="s">
        <v>23</v>
      </c>
      <c r="H489" s="7" t="s">
        <v>65</v>
      </c>
      <c r="I489" s="6" t="s">
        <v>66</v>
      </c>
      <c r="J489" s="6"/>
      <c r="K489" s="6"/>
      <c r="L489" s="6" t="s">
        <v>235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37139.039838434765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  <c r="AG489" s="10">
        <v>0</v>
      </c>
      <c r="AH489" s="10">
        <v>0</v>
      </c>
      <c r="AI489" s="10">
        <v>0</v>
      </c>
      <c r="AJ489" s="10">
        <v>3262336.9146527923</v>
      </c>
      <c r="AK489" s="10">
        <v>37139.039838434765</v>
      </c>
      <c r="AL489" s="10">
        <v>3262336.9146527923</v>
      </c>
      <c r="AM489" s="10">
        <v>0</v>
      </c>
      <c r="AN489" s="10">
        <v>0</v>
      </c>
      <c r="AO489" s="10">
        <v>0</v>
      </c>
      <c r="AP489" s="16">
        <f t="shared" si="8"/>
        <v>3299475.9544912269</v>
      </c>
    </row>
    <row r="490" spans="1:42" x14ac:dyDescent="0.25">
      <c r="A490" s="6" t="s">
        <v>30</v>
      </c>
      <c r="B490" s="6" t="s">
        <v>18</v>
      </c>
      <c r="C490" s="6" t="s">
        <v>62</v>
      </c>
      <c r="D490" s="7" t="s">
        <v>63</v>
      </c>
      <c r="E490" s="7" t="s">
        <v>21</v>
      </c>
      <c r="F490" s="7" t="s">
        <v>64</v>
      </c>
      <c r="G490" s="7" t="s">
        <v>23</v>
      </c>
      <c r="H490" s="7" t="s">
        <v>69</v>
      </c>
      <c r="I490" s="6" t="s">
        <v>66</v>
      </c>
      <c r="J490" s="6"/>
      <c r="K490" s="6"/>
      <c r="L490" s="6" t="s">
        <v>235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14587.520955648473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  <c r="AG490" s="10">
        <v>0</v>
      </c>
      <c r="AH490" s="10">
        <v>0</v>
      </c>
      <c r="AI490" s="10">
        <v>0</v>
      </c>
      <c r="AJ490" s="10">
        <v>1281384.9877086338</v>
      </c>
      <c r="AK490" s="10">
        <v>14587.520955648473</v>
      </c>
      <c r="AL490" s="10">
        <v>1281384.9877086338</v>
      </c>
      <c r="AM490" s="10">
        <v>0</v>
      </c>
      <c r="AN490" s="10">
        <v>0</v>
      </c>
      <c r="AO490" s="10">
        <v>0</v>
      </c>
      <c r="AP490" s="16">
        <f t="shared" si="8"/>
        <v>1295972.5086642823</v>
      </c>
    </row>
    <row r="491" spans="1:42" x14ac:dyDescent="0.25">
      <c r="A491" s="6" t="s">
        <v>32</v>
      </c>
      <c r="B491" s="6" t="s">
        <v>18</v>
      </c>
      <c r="C491" s="6" t="s">
        <v>62</v>
      </c>
      <c r="D491" s="7" t="s">
        <v>63</v>
      </c>
      <c r="E491" s="7" t="s">
        <v>21</v>
      </c>
      <c r="F491" s="7" t="s">
        <v>64</v>
      </c>
      <c r="G491" s="7" t="s">
        <v>23</v>
      </c>
      <c r="H491" s="7" t="s">
        <v>70</v>
      </c>
      <c r="I491" s="6" t="s">
        <v>66</v>
      </c>
      <c r="J491" s="6"/>
      <c r="K491" s="6"/>
      <c r="L491" s="6" t="s">
        <v>235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3784.8703020060916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0</v>
      </c>
      <c r="AG491" s="10">
        <v>0</v>
      </c>
      <c r="AH491" s="10">
        <v>0</v>
      </c>
      <c r="AI491" s="10">
        <v>0</v>
      </c>
      <c r="AJ491" s="10">
        <v>332467.45627034822</v>
      </c>
      <c r="AK491" s="10">
        <v>3784.8703020060916</v>
      </c>
      <c r="AL491" s="10">
        <v>332467.45627034822</v>
      </c>
      <c r="AM491" s="10">
        <v>0</v>
      </c>
      <c r="AN491" s="10">
        <v>0</v>
      </c>
      <c r="AO491" s="10">
        <v>0</v>
      </c>
      <c r="AP491" s="16">
        <f t="shared" si="8"/>
        <v>336252.3265723543</v>
      </c>
    </row>
    <row r="492" spans="1:42" x14ac:dyDescent="0.25">
      <c r="A492" s="6" t="s">
        <v>34</v>
      </c>
      <c r="B492" s="6" t="s">
        <v>18</v>
      </c>
      <c r="C492" s="6" t="s">
        <v>62</v>
      </c>
      <c r="D492" s="7" t="s">
        <v>63</v>
      </c>
      <c r="E492" s="7" t="s">
        <v>21</v>
      </c>
      <c r="F492" s="7" t="s">
        <v>64</v>
      </c>
      <c r="G492" s="7" t="s">
        <v>23</v>
      </c>
      <c r="H492" s="7" t="s">
        <v>71</v>
      </c>
      <c r="I492" s="6" t="s">
        <v>66</v>
      </c>
      <c r="J492" s="6"/>
      <c r="K492" s="6"/>
      <c r="L492" s="6" t="s">
        <v>235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23340.033529037562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  <c r="AG492" s="10">
        <v>0</v>
      </c>
      <c r="AH492" s="10">
        <v>0</v>
      </c>
      <c r="AI492" s="10">
        <v>0</v>
      </c>
      <c r="AJ492" s="10">
        <v>2050215.9803338139</v>
      </c>
      <c r="AK492" s="10">
        <v>23340.033529037562</v>
      </c>
      <c r="AL492" s="10">
        <v>2050215.9803338139</v>
      </c>
      <c r="AM492" s="10">
        <v>0</v>
      </c>
      <c r="AN492" s="10">
        <v>0</v>
      </c>
      <c r="AO492" s="10">
        <v>0</v>
      </c>
      <c r="AP492" s="16">
        <f t="shared" si="8"/>
        <v>2073556.0138628515</v>
      </c>
    </row>
    <row r="493" spans="1:42" x14ac:dyDescent="0.25">
      <c r="A493" s="6" t="s">
        <v>28</v>
      </c>
      <c r="B493" s="6" t="s">
        <v>18</v>
      </c>
      <c r="C493" s="6" t="s">
        <v>62</v>
      </c>
      <c r="D493" s="7" t="s">
        <v>63</v>
      </c>
      <c r="E493" s="7" t="s">
        <v>21</v>
      </c>
      <c r="F493" s="7" t="s">
        <v>64</v>
      </c>
      <c r="G493" s="7" t="s">
        <v>23</v>
      </c>
      <c r="H493" s="7" t="s">
        <v>65</v>
      </c>
      <c r="I493" s="6" t="s">
        <v>66</v>
      </c>
      <c r="J493" s="6"/>
      <c r="K493" s="6"/>
      <c r="L493" s="6" t="s">
        <v>236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2270750.3473271211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  <c r="AG493" s="10">
        <v>0</v>
      </c>
      <c r="AH493" s="10">
        <v>0</v>
      </c>
      <c r="AI493" s="10">
        <v>0</v>
      </c>
      <c r="AJ493" s="10">
        <v>4001333.564635993</v>
      </c>
      <c r="AK493" s="10">
        <v>2270750.3473271211</v>
      </c>
      <c r="AL493" s="10">
        <v>4001333.564635993</v>
      </c>
      <c r="AM493" s="10">
        <v>1600533.4267926568</v>
      </c>
      <c r="AN493" s="10">
        <v>0</v>
      </c>
      <c r="AO493" s="10">
        <v>0</v>
      </c>
      <c r="AP493" s="16">
        <f t="shared" si="8"/>
        <v>7872617.3387557715</v>
      </c>
    </row>
    <row r="494" spans="1:42" x14ac:dyDescent="0.25">
      <c r="A494" s="6" t="s">
        <v>30</v>
      </c>
      <c r="B494" s="6" t="s">
        <v>18</v>
      </c>
      <c r="C494" s="6" t="s">
        <v>62</v>
      </c>
      <c r="D494" s="7" t="s">
        <v>63</v>
      </c>
      <c r="E494" s="7" t="s">
        <v>21</v>
      </c>
      <c r="F494" s="7" t="s">
        <v>64</v>
      </c>
      <c r="G494" s="7" t="s">
        <v>23</v>
      </c>
      <c r="H494" s="7" t="s">
        <v>69</v>
      </c>
      <c r="I494" s="6" t="s">
        <v>66</v>
      </c>
      <c r="J494" s="6"/>
      <c r="K494" s="6"/>
      <c r="L494" s="6" t="s">
        <v>236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886263.32121417159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  <c r="AG494" s="10">
        <v>0</v>
      </c>
      <c r="AH494" s="10">
        <v>0</v>
      </c>
      <c r="AI494" s="10">
        <v>0</v>
      </c>
      <c r="AJ494" s="10">
        <v>1561701.9186870437</v>
      </c>
      <c r="AK494" s="10">
        <v>886263.32121417159</v>
      </c>
      <c r="AL494" s="10">
        <v>1561701.9186870437</v>
      </c>
      <c r="AM494" s="10">
        <v>624680.76784101594</v>
      </c>
      <c r="AN494" s="10">
        <v>0</v>
      </c>
      <c r="AO494" s="10">
        <v>0</v>
      </c>
      <c r="AP494" s="16">
        <f t="shared" si="8"/>
        <v>3072646.0077422312</v>
      </c>
    </row>
    <row r="495" spans="1:42" x14ac:dyDescent="0.25">
      <c r="A495" s="6" t="s">
        <v>32</v>
      </c>
      <c r="B495" s="6" t="s">
        <v>18</v>
      </c>
      <c r="C495" s="6" t="s">
        <v>62</v>
      </c>
      <c r="D495" s="7" t="s">
        <v>63</v>
      </c>
      <c r="E495" s="7" t="s">
        <v>21</v>
      </c>
      <c r="F495" s="7" t="s">
        <v>64</v>
      </c>
      <c r="G495" s="7" t="s">
        <v>23</v>
      </c>
      <c r="H495" s="7" t="s">
        <v>70</v>
      </c>
      <c r="I495" s="6" t="s">
        <v>66</v>
      </c>
      <c r="J495" s="6"/>
      <c r="K495" s="6"/>
      <c r="L495" s="6" t="s">
        <v>236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229949.40226097422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  <c r="AG495" s="10">
        <v>0</v>
      </c>
      <c r="AH495" s="10">
        <v>0</v>
      </c>
      <c r="AI495" s="10">
        <v>0</v>
      </c>
      <c r="AJ495" s="10">
        <v>405198.33565934107</v>
      </c>
      <c r="AK495" s="10">
        <v>229949.40226097422</v>
      </c>
      <c r="AL495" s="10">
        <v>405198.33565934107</v>
      </c>
      <c r="AM495" s="10">
        <v>162079.33435875006</v>
      </c>
      <c r="AN495" s="10">
        <v>0</v>
      </c>
      <c r="AO495" s="10">
        <v>0</v>
      </c>
      <c r="AP495" s="16">
        <f t="shared" si="8"/>
        <v>797227.07227906527</v>
      </c>
    </row>
    <row r="496" spans="1:42" x14ac:dyDescent="0.25">
      <c r="A496" s="6" t="s">
        <v>34</v>
      </c>
      <c r="B496" s="6" t="s">
        <v>18</v>
      </c>
      <c r="C496" s="6" t="s">
        <v>62</v>
      </c>
      <c r="D496" s="7" t="s">
        <v>63</v>
      </c>
      <c r="E496" s="7" t="s">
        <v>21</v>
      </c>
      <c r="F496" s="7" t="s">
        <v>64</v>
      </c>
      <c r="G496" s="7" t="s">
        <v>23</v>
      </c>
      <c r="H496" s="7" t="s">
        <v>71</v>
      </c>
      <c r="I496" s="6" t="s">
        <v>66</v>
      </c>
      <c r="J496" s="6"/>
      <c r="K496" s="6"/>
      <c r="L496" s="6" t="s">
        <v>236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1403649.4763013637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  <c r="AG496" s="10">
        <v>0</v>
      </c>
      <c r="AH496" s="10">
        <v>0</v>
      </c>
      <c r="AI496" s="10">
        <v>0</v>
      </c>
      <c r="AJ496" s="10">
        <v>2473398.1739205606</v>
      </c>
      <c r="AK496" s="10">
        <v>1403649.4763013637</v>
      </c>
      <c r="AL496" s="10">
        <v>2473398.1739205606</v>
      </c>
      <c r="AM496" s="10">
        <v>989359.27014820348</v>
      </c>
      <c r="AN496" s="10">
        <v>0</v>
      </c>
      <c r="AO496" s="10">
        <v>0</v>
      </c>
      <c r="AP496" s="16">
        <f t="shared" si="8"/>
        <v>4866406.920370128</v>
      </c>
    </row>
    <row r="497" spans="1:42" x14ac:dyDescent="0.25">
      <c r="A497" s="6" t="s">
        <v>28</v>
      </c>
      <c r="B497" s="6" t="s">
        <v>18</v>
      </c>
      <c r="C497" s="6" t="s">
        <v>62</v>
      </c>
      <c r="D497" s="7" t="s">
        <v>63</v>
      </c>
      <c r="E497" s="7" t="s">
        <v>21</v>
      </c>
      <c r="F497" s="7" t="s">
        <v>64</v>
      </c>
      <c r="G497" s="7" t="s">
        <v>23</v>
      </c>
      <c r="H497" s="7" t="s">
        <v>65</v>
      </c>
      <c r="I497" s="6" t="s">
        <v>66</v>
      </c>
      <c r="J497" s="6"/>
      <c r="K497" s="6"/>
      <c r="L497" s="6" t="s">
        <v>237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  <c r="AE497" s="10">
        <v>0</v>
      </c>
      <c r="AF497" s="10">
        <v>0</v>
      </c>
      <c r="AG497" s="10">
        <v>0</v>
      </c>
      <c r="AH497" s="10">
        <v>0</v>
      </c>
      <c r="AI497" s="10">
        <v>0</v>
      </c>
      <c r="AJ497" s="10">
        <v>51360.709159369857</v>
      </c>
      <c r="AK497" s="10">
        <v>0</v>
      </c>
      <c r="AL497" s="10">
        <v>51360.709159369857</v>
      </c>
      <c r="AM497" s="10">
        <v>0</v>
      </c>
      <c r="AN497" s="10">
        <v>0</v>
      </c>
      <c r="AO497" s="10">
        <v>0</v>
      </c>
      <c r="AP497" s="16">
        <f t="shared" si="8"/>
        <v>51360.709159369857</v>
      </c>
    </row>
    <row r="498" spans="1:42" x14ac:dyDescent="0.25">
      <c r="A498" s="6" t="s">
        <v>30</v>
      </c>
      <c r="B498" s="6" t="s">
        <v>18</v>
      </c>
      <c r="C498" s="6" t="s">
        <v>62</v>
      </c>
      <c r="D498" s="7" t="s">
        <v>63</v>
      </c>
      <c r="E498" s="7" t="s">
        <v>21</v>
      </c>
      <c r="F498" s="7" t="s">
        <v>64</v>
      </c>
      <c r="G498" s="7" t="s">
        <v>23</v>
      </c>
      <c r="H498" s="7" t="s">
        <v>69</v>
      </c>
      <c r="I498" s="6" t="s">
        <v>66</v>
      </c>
      <c r="J498" s="6"/>
      <c r="K498" s="6"/>
      <c r="L498" s="6" t="s">
        <v>237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  <c r="AG498" s="10">
        <v>0</v>
      </c>
      <c r="AH498" s="10">
        <v>0</v>
      </c>
      <c r="AI498" s="10">
        <v>0</v>
      </c>
      <c r="AJ498" s="10">
        <v>20173.526952194105</v>
      </c>
      <c r="AK498" s="10">
        <v>0</v>
      </c>
      <c r="AL498" s="10">
        <v>20173.526952194105</v>
      </c>
      <c r="AM498" s="10">
        <v>0</v>
      </c>
      <c r="AN498" s="10">
        <v>0</v>
      </c>
      <c r="AO498" s="10">
        <v>0</v>
      </c>
      <c r="AP498" s="16">
        <f t="shared" si="8"/>
        <v>20173.526952194105</v>
      </c>
    </row>
    <row r="499" spans="1:42" x14ac:dyDescent="0.25">
      <c r="A499" s="6" t="s">
        <v>32</v>
      </c>
      <c r="B499" s="6" t="s">
        <v>18</v>
      </c>
      <c r="C499" s="6" t="s">
        <v>62</v>
      </c>
      <c r="D499" s="7" t="s">
        <v>63</v>
      </c>
      <c r="E499" s="7" t="s">
        <v>21</v>
      </c>
      <c r="F499" s="7" t="s">
        <v>64</v>
      </c>
      <c r="G499" s="7" t="s">
        <v>23</v>
      </c>
      <c r="H499" s="7" t="s">
        <v>70</v>
      </c>
      <c r="I499" s="6" t="s">
        <v>66</v>
      </c>
      <c r="J499" s="6"/>
      <c r="K499" s="6"/>
      <c r="L499" s="6" t="s">
        <v>237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  <c r="AG499" s="10">
        <v>0</v>
      </c>
      <c r="AH499" s="10">
        <v>0</v>
      </c>
      <c r="AI499" s="10">
        <v>0</v>
      </c>
      <c r="AJ499" s="10">
        <v>5234.2123984071195</v>
      </c>
      <c r="AK499" s="10">
        <v>0</v>
      </c>
      <c r="AL499" s="10">
        <v>5234.2123984071195</v>
      </c>
      <c r="AM499" s="10">
        <v>0</v>
      </c>
      <c r="AN499" s="10">
        <v>0</v>
      </c>
      <c r="AO499" s="10">
        <v>0</v>
      </c>
      <c r="AP499" s="16">
        <f t="shared" si="8"/>
        <v>5234.2123984071195</v>
      </c>
    </row>
    <row r="500" spans="1:42" x14ac:dyDescent="0.25">
      <c r="A500" s="6" t="s">
        <v>34</v>
      </c>
      <c r="B500" s="6" t="s">
        <v>18</v>
      </c>
      <c r="C500" s="6" t="s">
        <v>62</v>
      </c>
      <c r="D500" s="7" t="s">
        <v>63</v>
      </c>
      <c r="E500" s="7" t="s">
        <v>21</v>
      </c>
      <c r="F500" s="7" t="s">
        <v>64</v>
      </c>
      <c r="G500" s="7" t="s">
        <v>23</v>
      </c>
      <c r="H500" s="7" t="s">
        <v>71</v>
      </c>
      <c r="I500" s="6" t="s">
        <v>66</v>
      </c>
      <c r="J500" s="6"/>
      <c r="K500" s="6"/>
      <c r="L500" s="6" t="s">
        <v>237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0">
        <v>0</v>
      </c>
      <c r="AE500" s="10">
        <v>0</v>
      </c>
      <c r="AF500" s="10">
        <v>0</v>
      </c>
      <c r="AG500" s="10">
        <v>0</v>
      </c>
      <c r="AH500" s="10">
        <v>0</v>
      </c>
      <c r="AI500" s="10">
        <v>0</v>
      </c>
      <c r="AJ500" s="10">
        <v>32277.643123510567</v>
      </c>
      <c r="AK500" s="10">
        <v>0</v>
      </c>
      <c r="AL500" s="10">
        <v>32277.643123510567</v>
      </c>
      <c r="AM500" s="10">
        <v>0</v>
      </c>
      <c r="AN500" s="10">
        <v>0</v>
      </c>
      <c r="AO500" s="10">
        <v>0</v>
      </c>
      <c r="AP500" s="16">
        <f t="shared" si="8"/>
        <v>32277.643123510567</v>
      </c>
    </row>
    <row r="501" spans="1:42" x14ac:dyDescent="0.25">
      <c r="A501" s="6" t="s">
        <v>17</v>
      </c>
      <c r="B501" s="6" t="s">
        <v>18</v>
      </c>
      <c r="C501" s="6" t="s">
        <v>62</v>
      </c>
      <c r="D501" s="7" t="s">
        <v>63</v>
      </c>
      <c r="E501" s="7" t="s">
        <v>21</v>
      </c>
      <c r="F501" s="7" t="s">
        <v>64</v>
      </c>
      <c r="G501" s="7" t="s">
        <v>23</v>
      </c>
      <c r="H501" s="7" t="s">
        <v>229</v>
      </c>
      <c r="I501" s="6" t="s">
        <v>66</v>
      </c>
      <c r="J501" s="6"/>
      <c r="K501" s="6"/>
      <c r="L501" s="6" t="s">
        <v>238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  <c r="AG501" s="10">
        <v>0</v>
      </c>
      <c r="AH501" s="10">
        <v>0</v>
      </c>
      <c r="AI501" s="10">
        <v>0</v>
      </c>
      <c r="AJ501" s="10">
        <v>0</v>
      </c>
      <c r="AK501" s="10">
        <v>0</v>
      </c>
      <c r="AL501" s="10">
        <v>0</v>
      </c>
      <c r="AM501" s="10">
        <v>0</v>
      </c>
      <c r="AN501" s="10">
        <v>0</v>
      </c>
      <c r="AO501" s="10">
        <v>0</v>
      </c>
      <c r="AP501" s="16">
        <f t="shared" si="8"/>
        <v>0</v>
      </c>
    </row>
    <row r="502" spans="1:42" x14ac:dyDescent="0.25">
      <c r="A502" s="6" t="s">
        <v>28</v>
      </c>
      <c r="B502" s="6" t="s">
        <v>18</v>
      </c>
      <c r="C502" s="6" t="s">
        <v>62</v>
      </c>
      <c r="D502" s="7" t="s">
        <v>63</v>
      </c>
      <c r="E502" s="7" t="s">
        <v>21</v>
      </c>
      <c r="F502" s="7" t="s">
        <v>64</v>
      </c>
      <c r="G502" s="7" t="s">
        <v>23</v>
      </c>
      <c r="H502" s="7" t="s">
        <v>65</v>
      </c>
      <c r="I502" s="6" t="s">
        <v>66</v>
      </c>
      <c r="J502" s="6"/>
      <c r="K502" s="6"/>
      <c r="L502" s="6" t="s">
        <v>238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  <c r="AG502" s="10">
        <v>0</v>
      </c>
      <c r="AH502" s="10">
        <v>0</v>
      </c>
      <c r="AI502" s="10">
        <v>0</v>
      </c>
      <c r="AJ502" s="10">
        <v>0</v>
      </c>
      <c r="AK502" s="10">
        <v>0</v>
      </c>
      <c r="AL502" s="10">
        <v>0</v>
      </c>
      <c r="AM502" s="10">
        <v>0</v>
      </c>
      <c r="AN502" s="10">
        <v>0</v>
      </c>
      <c r="AO502" s="10">
        <v>0</v>
      </c>
      <c r="AP502" s="16">
        <f t="shared" si="8"/>
        <v>0</v>
      </c>
    </row>
    <row r="503" spans="1:42" x14ac:dyDescent="0.25">
      <c r="A503" s="6" t="s">
        <v>30</v>
      </c>
      <c r="B503" s="6" t="s">
        <v>18</v>
      </c>
      <c r="C503" s="6" t="s">
        <v>62</v>
      </c>
      <c r="D503" s="7" t="s">
        <v>63</v>
      </c>
      <c r="E503" s="7" t="s">
        <v>21</v>
      </c>
      <c r="F503" s="7" t="s">
        <v>64</v>
      </c>
      <c r="G503" s="7" t="s">
        <v>23</v>
      </c>
      <c r="H503" s="7" t="s">
        <v>69</v>
      </c>
      <c r="I503" s="6" t="s">
        <v>66</v>
      </c>
      <c r="J503" s="6"/>
      <c r="K503" s="6"/>
      <c r="L503" s="6" t="s">
        <v>238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0</v>
      </c>
      <c r="AD503" s="10">
        <v>0</v>
      </c>
      <c r="AE503" s="10">
        <v>0</v>
      </c>
      <c r="AF503" s="10">
        <v>0</v>
      </c>
      <c r="AG503" s="10">
        <v>0</v>
      </c>
      <c r="AH503" s="10">
        <v>0</v>
      </c>
      <c r="AI503" s="10">
        <v>0</v>
      </c>
      <c r="AJ503" s="10">
        <v>0</v>
      </c>
      <c r="AK503" s="10">
        <v>0</v>
      </c>
      <c r="AL503" s="10">
        <v>0</v>
      </c>
      <c r="AM503" s="10">
        <v>0</v>
      </c>
      <c r="AN503" s="10">
        <v>0</v>
      </c>
      <c r="AO503" s="10">
        <v>0</v>
      </c>
      <c r="AP503" s="16">
        <f t="shared" si="8"/>
        <v>0</v>
      </c>
    </row>
    <row r="504" spans="1:42" x14ac:dyDescent="0.25">
      <c r="A504" s="6" t="s">
        <v>32</v>
      </c>
      <c r="B504" s="6" t="s">
        <v>18</v>
      </c>
      <c r="C504" s="6" t="s">
        <v>62</v>
      </c>
      <c r="D504" s="7" t="s">
        <v>63</v>
      </c>
      <c r="E504" s="7" t="s">
        <v>21</v>
      </c>
      <c r="F504" s="7" t="s">
        <v>64</v>
      </c>
      <c r="G504" s="7"/>
      <c r="H504" s="7" t="s">
        <v>70</v>
      </c>
      <c r="I504" s="6" t="s">
        <v>66</v>
      </c>
      <c r="J504" s="6"/>
      <c r="K504" s="6"/>
      <c r="L504" s="6" t="s">
        <v>238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</v>
      </c>
      <c r="AF504" s="10">
        <v>0</v>
      </c>
      <c r="AG504" s="10">
        <v>0</v>
      </c>
      <c r="AH504" s="10">
        <v>0</v>
      </c>
      <c r="AI504" s="10">
        <v>0</v>
      </c>
      <c r="AJ504" s="10">
        <v>0</v>
      </c>
      <c r="AK504" s="10">
        <v>0</v>
      </c>
      <c r="AL504" s="10">
        <v>0</v>
      </c>
      <c r="AM504" s="10">
        <v>0</v>
      </c>
      <c r="AN504" s="10">
        <v>0</v>
      </c>
      <c r="AO504" s="10">
        <v>0</v>
      </c>
      <c r="AP504" s="16">
        <f t="shared" si="8"/>
        <v>0</v>
      </c>
    </row>
    <row r="505" spans="1:42" x14ac:dyDescent="0.25">
      <c r="A505" s="6" t="s">
        <v>34</v>
      </c>
      <c r="B505" s="6" t="s">
        <v>18</v>
      </c>
      <c r="C505" s="6" t="s">
        <v>62</v>
      </c>
      <c r="D505" s="7" t="s">
        <v>63</v>
      </c>
      <c r="E505" s="7" t="s">
        <v>21</v>
      </c>
      <c r="F505" s="7" t="s">
        <v>64</v>
      </c>
      <c r="G505" s="7"/>
      <c r="H505" s="7" t="s">
        <v>71</v>
      </c>
      <c r="I505" s="6" t="s">
        <v>66</v>
      </c>
      <c r="J505" s="6"/>
      <c r="K505" s="6"/>
      <c r="L505" s="6" t="s">
        <v>238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  <c r="AG505" s="10">
        <v>0</v>
      </c>
      <c r="AH505" s="10">
        <v>0</v>
      </c>
      <c r="AI505" s="10">
        <v>0</v>
      </c>
      <c r="AJ505" s="10">
        <v>0</v>
      </c>
      <c r="AK505" s="10">
        <v>0</v>
      </c>
      <c r="AL505" s="10">
        <v>0</v>
      </c>
      <c r="AM505" s="10">
        <v>0</v>
      </c>
      <c r="AN505" s="10">
        <v>0</v>
      </c>
      <c r="AO505" s="10">
        <v>0</v>
      </c>
      <c r="AP505" s="16">
        <f t="shared" si="8"/>
        <v>0</v>
      </c>
    </row>
    <row r="506" spans="1:42" x14ac:dyDescent="0.25">
      <c r="A506" s="6" t="s">
        <v>150</v>
      </c>
      <c r="B506" s="6" t="s">
        <v>18</v>
      </c>
      <c r="C506" s="6" t="s">
        <v>62</v>
      </c>
      <c r="D506" s="7" t="s">
        <v>63</v>
      </c>
      <c r="E506" s="7" t="s">
        <v>21</v>
      </c>
      <c r="F506" s="7" t="s">
        <v>64</v>
      </c>
      <c r="G506" s="7"/>
      <c r="H506" s="7" t="s">
        <v>231</v>
      </c>
      <c r="I506" s="6" t="s">
        <v>66</v>
      </c>
      <c r="J506" s="6"/>
      <c r="K506" s="6"/>
      <c r="L506" s="6" t="s">
        <v>238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0</v>
      </c>
      <c r="AD506" s="10">
        <v>0</v>
      </c>
      <c r="AE506" s="10">
        <v>0</v>
      </c>
      <c r="AF506" s="10">
        <v>0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0">
        <v>0</v>
      </c>
      <c r="AM506" s="10">
        <v>0</v>
      </c>
      <c r="AN506" s="10">
        <v>0</v>
      </c>
      <c r="AO506" s="10">
        <v>0</v>
      </c>
      <c r="AP506" s="16">
        <f t="shared" si="8"/>
        <v>0</v>
      </c>
    </row>
    <row r="507" spans="1:42" x14ac:dyDescent="0.25">
      <c r="A507" s="6" t="s">
        <v>38</v>
      </c>
      <c r="B507" s="6" t="s">
        <v>18</v>
      </c>
      <c r="C507" s="6" t="s">
        <v>62</v>
      </c>
      <c r="D507" s="7" t="s">
        <v>63</v>
      </c>
      <c r="E507" s="7" t="s">
        <v>21</v>
      </c>
      <c r="F507" s="7" t="s">
        <v>64</v>
      </c>
      <c r="G507" s="7"/>
      <c r="H507" s="7" t="s">
        <v>232</v>
      </c>
      <c r="I507" s="6" t="s">
        <v>66</v>
      </c>
      <c r="J507" s="6"/>
      <c r="K507" s="6"/>
      <c r="L507" s="6" t="s">
        <v>238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0</v>
      </c>
      <c r="AG507" s="10">
        <v>0</v>
      </c>
      <c r="AH507" s="10">
        <v>0</v>
      </c>
      <c r="AI507" s="10">
        <v>0</v>
      </c>
      <c r="AJ507" s="10">
        <v>0</v>
      </c>
      <c r="AK507" s="10">
        <v>0</v>
      </c>
      <c r="AL507" s="10">
        <v>0</v>
      </c>
      <c r="AM507" s="10">
        <v>0</v>
      </c>
      <c r="AN507" s="10">
        <v>0</v>
      </c>
      <c r="AO507" s="10">
        <v>0</v>
      </c>
      <c r="AP507" s="16">
        <f t="shared" si="8"/>
        <v>0</v>
      </c>
    </row>
    <row r="508" spans="1:42" x14ac:dyDescent="0.25">
      <c r="A508" s="6" t="s">
        <v>40</v>
      </c>
      <c r="B508" s="6" t="s">
        <v>18</v>
      </c>
      <c r="C508" s="6" t="s">
        <v>62</v>
      </c>
      <c r="D508" s="7" t="s">
        <v>63</v>
      </c>
      <c r="E508" s="7" t="s">
        <v>21</v>
      </c>
      <c r="F508" s="7" t="s">
        <v>64</v>
      </c>
      <c r="G508" s="7"/>
      <c r="H508" s="7" t="s">
        <v>233</v>
      </c>
      <c r="I508" s="6" t="s">
        <v>66</v>
      </c>
      <c r="J508" s="6"/>
      <c r="K508" s="6"/>
      <c r="L508" s="6" t="s">
        <v>238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0">
        <v>0</v>
      </c>
      <c r="AM508" s="10">
        <v>0</v>
      </c>
      <c r="AN508" s="10">
        <v>0</v>
      </c>
      <c r="AO508" s="10">
        <v>0</v>
      </c>
      <c r="AP508" s="16">
        <f t="shared" si="8"/>
        <v>0</v>
      </c>
    </row>
    <row r="509" spans="1:42" x14ac:dyDescent="0.25">
      <c r="A509" s="6" t="s">
        <v>36</v>
      </c>
      <c r="B509" s="6" t="s">
        <v>18</v>
      </c>
      <c r="C509" s="6" t="s">
        <v>62</v>
      </c>
      <c r="D509" s="7" t="s">
        <v>63</v>
      </c>
      <c r="E509" s="7" t="s">
        <v>21</v>
      </c>
      <c r="F509" s="7" t="s">
        <v>64</v>
      </c>
      <c r="G509" s="7" t="s">
        <v>23</v>
      </c>
      <c r="H509" s="7" t="s">
        <v>234</v>
      </c>
      <c r="I509" s="6" t="s">
        <v>66</v>
      </c>
      <c r="J509" s="6"/>
      <c r="K509" s="6"/>
      <c r="L509" s="6" t="s">
        <v>238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  <c r="AG509" s="10">
        <v>0</v>
      </c>
      <c r="AH509" s="10">
        <v>0</v>
      </c>
      <c r="AI509" s="10">
        <v>0</v>
      </c>
      <c r="AJ509" s="10">
        <v>0</v>
      </c>
      <c r="AK509" s="10">
        <v>0</v>
      </c>
      <c r="AL509" s="10">
        <v>0</v>
      </c>
      <c r="AM509" s="10">
        <v>0</v>
      </c>
      <c r="AN509" s="10">
        <v>0</v>
      </c>
      <c r="AO509" s="10">
        <v>0</v>
      </c>
      <c r="AP509" s="16">
        <f t="shared" si="8"/>
        <v>0</v>
      </c>
    </row>
    <row r="510" spans="1:42" x14ac:dyDescent="0.25">
      <c r="A510" s="6" t="s">
        <v>42</v>
      </c>
      <c r="B510" s="6" t="s">
        <v>18</v>
      </c>
      <c r="C510" s="6" t="s">
        <v>62</v>
      </c>
      <c r="D510" s="7" t="s">
        <v>63</v>
      </c>
      <c r="E510" s="7" t="s">
        <v>21</v>
      </c>
      <c r="F510" s="7" t="s">
        <v>64</v>
      </c>
      <c r="G510" s="7" t="s">
        <v>23</v>
      </c>
      <c r="H510" s="7" t="s">
        <v>128</v>
      </c>
      <c r="I510" s="6" t="s">
        <v>66</v>
      </c>
      <c r="J510" s="6"/>
      <c r="K510" s="6"/>
      <c r="L510" s="6" t="s">
        <v>238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0">
        <v>0</v>
      </c>
      <c r="AM510" s="10">
        <v>0</v>
      </c>
      <c r="AN510" s="10">
        <v>0</v>
      </c>
      <c r="AO510" s="10">
        <v>0</v>
      </c>
      <c r="AP510" s="16">
        <f t="shared" si="8"/>
        <v>0</v>
      </c>
    </row>
    <row r="511" spans="1:42" x14ac:dyDescent="0.25">
      <c r="A511" s="6" t="s">
        <v>28</v>
      </c>
      <c r="B511" s="6" t="s">
        <v>18</v>
      </c>
      <c r="C511" s="6" t="s">
        <v>62</v>
      </c>
      <c r="D511" s="7" t="s">
        <v>63</v>
      </c>
      <c r="E511" s="7" t="s">
        <v>21</v>
      </c>
      <c r="F511" s="7" t="s">
        <v>64</v>
      </c>
      <c r="G511" s="7" t="s">
        <v>23</v>
      </c>
      <c r="H511" s="7" t="s">
        <v>65</v>
      </c>
      <c r="I511" s="6" t="s">
        <v>66</v>
      </c>
      <c r="J511" s="6"/>
      <c r="K511" s="6"/>
      <c r="L511" s="6" t="s">
        <v>239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118399.08041865898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  <c r="AG511" s="10">
        <v>0</v>
      </c>
      <c r="AH511" s="10">
        <v>0</v>
      </c>
      <c r="AI511" s="10">
        <v>0</v>
      </c>
      <c r="AJ511" s="10">
        <v>99991.451250536949</v>
      </c>
      <c r="AK511" s="10">
        <v>118399.08041865898</v>
      </c>
      <c r="AL511" s="10">
        <v>99991.451250536949</v>
      </c>
      <c r="AM511" s="10">
        <v>0</v>
      </c>
      <c r="AN511" s="10">
        <v>0</v>
      </c>
      <c r="AO511" s="10">
        <v>0</v>
      </c>
      <c r="AP511" s="16">
        <f t="shared" si="8"/>
        <v>218390.53166919592</v>
      </c>
    </row>
    <row r="512" spans="1:42" x14ac:dyDescent="0.25">
      <c r="A512" s="6" t="s">
        <v>30</v>
      </c>
      <c r="B512" s="6" t="s">
        <v>18</v>
      </c>
      <c r="C512" s="6" t="s">
        <v>62</v>
      </c>
      <c r="D512" s="7" t="s">
        <v>63</v>
      </c>
      <c r="E512" s="7" t="s">
        <v>21</v>
      </c>
      <c r="F512" s="7" t="s">
        <v>64</v>
      </c>
      <c r="G512" s="7" t="s">
        <v>23</v>
      </c>
      <c r="H512" s="7" t="s">
        <v>69</v>
      </c>
      <c r="I512" s="6" t="s">
        <v>66</v>
      </c>
      <c r="J512" s="6"/>
      <c r="K512" s="6"/>
      <c r="L512" s="6" t="s">
        <v>239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46504.946661256719</v>
      </c>
      <c r="Y512" s="10">
        <v>0</v>
      </c>
      <c r="Z512" s="10">
        <v>0</v>
      </c>
      <c r="AA512" s="10">
        <v>0</v>
      </c>
      <c r="AB512" s="10">
        <v>0</v>
      </c>
      <c r="AC512" s="10">
        <v>0</v>
      </c>
      <c r="AD512" s="10">
        <v>0</v>
      </c>
      <c r="AE512" s="10">
        <v>0</v>
      </c>
      <c r="AF512" s="10">
        <v>0</v>
      </c>
      <c r="AG512" s="10">
        <v>0</v>
      </c>
      <c r="AH512" s="10">
        <v>0</v>
      </c>
      <c r="AI512" s="10">
        <v>0</v>
      </c>
      <c r="AJ512" s="10">
        <v>39274.773845752301</v>
      </c>
      <c r="AK512" s="10">
        <v>46504.946661256719</v>
      </c>
      <c r="AL512" s="10">
        <v>39274.773845752301</v>
      </c>
      <c r="AM512" s="10">
        <v>0</v>
      </c>
      <c r="AN512" s="10">
        <v>0</v>
      </c>
      <c r="AO512" s="10">
        <v>0</v>
      </c>
      <c r="AP512" s="16">
        <f t="shared" si="8"/>
        <v>85779.720507009013</v>
      </c>
    </row>
    <row r="513" spans="1:42" x14ac:dyDescent="0.25">
      <c r="A513" s="6" t="s">
        <v>32</v>
      </c>
      <c r="B513" s="6" t="s">
        <v>18</v>
      </c>
      <c r="C513" s="6" t="s">
        <v>62</v>
      </c>
      <c r="D513" s="7" t="s">
        <v>63</v>
      </c>
      <c r="E513" s="7" t="s">
        <v>21</v>
      </c>
      <c r="F513" s="7" t="s">
        <v>64</v>
      </c>
      <c r="G513" s="7" t="s">
        <v>23</v>
      </c>
      <c r="H513" s="7" t="s">
        <v>70</v>
      </c>
      <c r="I513" s="6" t="s">
        <v>66</v>
      </c>
      <c r="J513" s="6"/>
      <c r="K513" s="6"/>
      <c r="L513" s="6" t="s">
        <v>239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12066.148322920664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  <c r="AG513" s="10">
        <v>0</v>
      </c>
      <c r="AH513" s="10">
        <v>0</v>
      </c>
      <c r="AI513" s="10">
        <v>0</v>
      </c>
      <c r="AJ513" s="10">
        <v>10190.211592411408</v>
      </c>
      <c r="AK513" s="10">
        <v>12066.148322920664</v>
      </c>
      <c r="AL513" s="10">
        <v>10190.211592411408</v>
      </c>
      <c r="AM513" s="10">
        <v>0</v>
      </c>
      <c r="AN513" s="10">
        <v>0</v>
      </c>
      <c r="AO513" s="10">
        <v>0</v>
      </c>
      <c r="AP513" s="16">
        <f t="shared" si="8"/>
        <v>22256.359915332072</v>
      </c>
    </row>
    <row r="514" spans="1:42" x14ac:dyDescent="0.25">
      <c r="A514" s="6" t="s">
        <v>34</v>
      </c>
      <c r="B514" s="6" t="s">
        <v>18</v>
      </c>
      <c r="C514" s="6" t="s">
        <v>62</v>
      </c>
      <c r="D514" s="7" t="s">
        <v>63</v>
      </c>
      <c r="E514" s="7" t="s">
        <v>21</v>
      </c>
      <c r="F514" s="7" t="s">
        <v>64</v>
      </c>
      <c r="G514" s="7" t="s">
        <v>23</v>
      </c>
      <c r="H514" s="7" t="s">
        <v>71</v>
      </c>
      <c r="I514" s="6" t="s">
        <v>66</v>
      </c>
      <c r="J514" s="6"/>
      <c r="K514" s="6"/>
      <c r="L514" s="6" t="s">
        <v>239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74407.914658010763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  <c r="AG514" s="10">
        <v>0</v>
      </c>
      <c r="AH514" s="10">
        <v>0</v>
      </c>
      <c r="AI514" s="10">
        <v>0</v>
      </c>
      <c r="AJ514" s="10">
        <v>62839.638153203683</v>
      </c>
      <c r="AK514" s="10">
        <v>74407.914658010763</v>
      </c>
      <c r="AL514" s="10">
        <v>62839.638153203683</v>
      </c>
      <c r="AM514" s="10">
        <v>0</v>
      </c>
      <c r="AN514" s="10">
        <v>0</v>
      </c>
      <c r="AO514" s="10">
        <v>0</v>
      </c>
      <c r="AP514" s="16">
        <f t="shared" si="8"/>
        <v>137247.55281121444</v>
      </c>
    </row>
    <row r="515" spans="1:42" x14ac:dyDescent="0.25">
      <c r="A515" s="6" t="s">
        <v>17</v>
      </c>
      <c r="B515" s="6" t="s">
        <v>18</v>
      </c>
      <c r="C515" s="6" t="s">
        <v>62</v>
      </c>
      <c r="D515" s="7" t="s">
        <v>63</v>
      </c>
      <c r="E515" s="7" t="s">
        <v>21</v>
      </c>
      <c r="F515" s="7" t="s">
        <v>64</v>
      </c>
      <c r="G515" s="7" t="s">
        <v>23</v>
      </c>
      <c r="H515" s="7" t="s">
        <v>306</v>
      </c>
      <c r="I515" s="6" t="s">
        <v>66</v>
      </c>
      <c r="J515" s="6"/>
      <c r="K515" s="6"/>
      <c r="L515" s="6" t="s">
        <v>315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104.94478050754468</v>
      </c>
      <c r="Y515" s="10">
        <v>0</v>
      </c>
      <c r="Z515" s="10">
        <v>0</v>
      </c>
      <c r="AA515" s="10">
        <v>0</v>
      </c>
      <c r="AB515" s="10">
        <v>0</v>
      </c>
      <c r="AC515" s="10">
        <v>0</v>
      </c>
      <c r="AD515" s="10">
        <v>0</v>
      </c>
      <c r="AE515" s="10">
        <v>0</v>
      </c>
      <c r="AF515" s="10">
        <v>0</v>
      </c>
      <c r="AG515" s="10">
        <v>0</v>
      </c>
      <c r="AH515" s="10">
        <v>0</v>
      </c>
      <c r="AI515" s="10">
        <v>0</v>
      </c>
      <c r="AJ515" s="10">
        <v>0</v>
      </c>
      <c r="AK515" s="10">
        <v>104.94478050754468</v>
      </c>
      <c r="AL515" s="10">
        <v>0</v>
      </c>
      <c r="AM515" s="10">
        <v>0</v>
      </c>
      <c r="AN515" s="10">
        <v>0</v>
      </c>
      <c r="AO515" s="10">
        <v>0</v>
      </c>
      <c r="AP515" s="16">
        <f t="shared" si="8"/>
        <v>104.94478050754468</v>
      </c>
    </row>
    <row r="516" spans="1:42" x14ac:dyDescent="0.25">
      <c r="A516" s="6" t="s">
        <v>28</v>
      </c>
      <c r="B516" s="6" t="s">
        <v>18</v>
      </c>
      <c r="C516" s="6" t="s">
        <v>62</v>
      </c>
      <c r="D516" s="7" t="s">
        <v>63</v>
      </c>
      <c r="E516" s="7" t="s">
        <v>21</v>
      </c>
      <c r="F516" s="7" t="s">
        <v>64</v>
      </c>
      <c r="G516" s="7" t="s">
        <v>23</v>
      </c>
      <c r="H516" s="7" t="s">
        <v>307</v>
      </c>
      <c r="I516" s="6" t="s">
        <v>66</v>
      </c>
      <c r="J516" s="6"/>
      <c r="K516" s="6"/>
      <c r="L516" s="6" t="s">
        <v>315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1484319.1219986035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  <c r="AG516" s="10">
        <v>0</v>
      </c>
      <c r="AH516" s="10">
        <v>0</v>
      </c>
      <c r="AI516" s="10">
        <v>0</v>
      </c>
      <c r="AJ516" s="10">
        <v>0</v>
      </c>
      <c r="AK516" s="10">
        <v>1484319.1219986035</v>
      </c>
      <c r="AL516" s="10">
        <v>0</v>
      </c>
      <c r="AM516" s="10">
        <v>0</v>
      </c>
      <c r="AN516" s="10">
        <v>0</v>
      </c>
      <c r="AO516" s="10">
        <v>0</v>
      </c>
      <c r="AP516" s="16">
        <f t="shared" si="8"/>
        <v>1484319.1219986035</v>
      </c>
    </row>
    <row r="517" spans="1:42" x14ac:dyDescent="0.25">
      <c r="A517" s="6" t="s">
        <v>30</v>
      </c>
      <c r="B517" s="6" t="s">
        <v>18</v>
      </c>
      <c r="C517" s="6" t="s">
        <v>62</v>
      </c>
      <c r="D517" s="7" t="s">
        <v>63</v>
      </c>
      <c r="E517" s="7" t="s">
        <v>21</v>
      </c>
      <c r="F517" s="7" t="s">
        <v>64</v>
      </c>
      <c r="G517" s="7" t="s">
        <v>23</v>
      </c>
      <c r="H517" s="7" t="s">
        <v>308</v>
      </c>
      <c r="I517" s="6" t="s">
        <v>66</v>
      </c>
      <c r="J517" s="6"/>
      <c r="K517" s="6"/>
      <c r="L517" s="6" t="s">
        <v>315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582689.66810456535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  <c r="AG517" s="10">
        <v>0</v>
      </c>
      <c r="AH517" s="10">
        <v>0</v>
      </c>
      <c r="AI517" s="10">
        <v>0</v>
      </c>
      <c r="AJ517" s="10">
        <v>0</v>
      </c>
      <c r="AK517" s="10">
        <v>582689.66810456535</v>
      </c>
      <c r="AL517" s="10">
        <v>0</v>
      </c>
      <c r="AM517" s="10">
        <v>0</v>
      </c>
      <c r="AN517" s="10">
        <v>0</v>
      </c>
      <c r="AO517" s="10">
        <v>0</v>
      </c>
      <c r="AP517" s="16">
        <f t="shared" ref="AP517:AP523" si="9">SUM(AK517:AO517)</f>
        <v>582689.66810456535</v>
      </c>
    </row>
    <row r="518" spans="1:42" x14ac:dyDescent="0.25">
      <c r="A518" s="6" t="s">
        <v>32</v>
      </c>
      <c r="B518" s="6" t="s">
        <v>18</v>
      </c>
      <c r="C518" s="6" t="s">
        <v>62</v>
      </c>
      <c r="D518" s="7" t="s">
        <v>63</v>
      </c>
      <c r="E518" s="7" t="s">
        <v>21</v>
      </c>
      <c r="F518" s="7" t="s">
        <v>64</v>
      </c>
      <c r="G518" s="7" t="s">
        <v>23</v>
      </c>
      <c r="H518" s="7" t="s">
        <v>309</v>
      </c>
      <c r="I518" s="6" t="s">
        <v>66</v>
      </c>
      <c r="J518" s="6"/>
      <c r="K518" s="6"/>
      <c r="L518" s="6" t="s">
        <v>315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150577.14149169659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  <c r="AE518" s="10">
        <v>0</v>
      </c>
      <c r="AF518" s="10">
        <v>0</v>
      </c>
      <c r="AG518" s="10">
        <v>0</v>
      </c>
      <c r="AH518" s="10">
        <v>0</v>
      </c>
      <c r="AI518" s="10">
        <v>0</v>
      </c>
      <c r="AJ518" s="10">
        <v>0</v>
      </c>
      <c r="AK518" s="10">
        <v>150577.14149169659</v>
      </c>
      <c r="AL518" s="10">
        <v>0</v>
      </c>
      <c r="AM518" s="10">
        <v>0</v>
      </c>
      <c r="AN518" s="10">
        <v>0</v>
      </c>
      <c r="AO518" s="10">
        <v>0</v>
      </c>
      <c r="AP518" s="16">
        <f t="shared" si="9"/>
        <v>150577.14149169659</v>
      </c>
    </row>
    <row r="519" spans="1:42" x14ac:dyDescent="0.25">
      <c r="A519" s="6" t="s">
        <v>34</v>
      </c>
      <c r="B519" s="6" t="s">
        <v>18</v>
      </c>
      <c r="C519" s="6" t="s">
        <v>62</v>
      </c>
      <c r="D519" s="7" t="s">
        <v>63</v>
      </c>
      <c r="E519" s="7" t="s">
        <v>21</v>
      </c>
      <c r="F519" s="7" t="s">
        <v>64</v>
      </c>
      <c r="G519" s="7" t="s">
        <v>23</v>
      </c>
      <c r="H519" s="7" t="s">
        <v>310</v>
      </c>
      <c r="I519" s="6" t="s">
        <v>66</v>
      </c>
      <c r="J519" s="6"/>
      <c r="K519" s="6"/>
      <c r="L519" s="6" t="s">
        <v>315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932199.1347918642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  <c r="AG519" s="10">
        <v>0</v>
      </c>
      <c r="AH519" s="10">
        <v>0</v>
      </c>
      <c r="AI519" s="10">
        <v>0</v>
      </c>
      <c r="AJ519" s="10">
        <v>0</v>
      </c>
      <c r="AK519" s="10">
        <v>932199.1347918642</v>
      </c>
      <c r="AL519" s="10">
        <v>0</v>
      </c>
      <c r="AM519" s="10">
        <v>0</v>
      </c>
      <c r="AN519" s="10">
        <v>0</v>
      </c>
      <c r="AO519" s="10">
        <v>0</v>
      </c>
      <c r="AP519" s="16">
        <f t="shared" si="9"/>
        <v>932199.1347918642</v>
      </c>
    </row>
    <row r="520" spans="1:42" x14ac:dyDescent="0.25">
      <c r="A520" s="6" t="s">
        <v>36</v>
      </c>
      <c r="B520" s="6" t="s">
        <v>18</v>
      </c>
      <c r="C520" s="6" t="s">
        <v>62</v>
      </c>
      <c r="D520" s="7" t="s">
        <v>63</v>
      </c>
      <c r="E520" s="7" t="s">
        <v>21</v>
      </c>
      <c r="F520" s="7" t="s">
        <v>64</v>
      </c>
      <c r="G520" s="7" t="s">
        <v>23</v>
      </c>
      <c r="H520" s="7" t="s">
        <v>311</v>
      </c>
      <c r="I520" s="6" t="s">
        <v>66</v>
      </c>
      <c r="J520" s="6"/>
      <c r="K520" s="6"/>
      <c r="L520" s="6" t="s">
        <v>315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251.86747321811092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  <c r="AG520" s="10">
        <v>0</v>
      </c>
      <c r="AH520" s="10">
        <v>0</v>
      </c>
      <c r="AI520" s="10">
        <v>0</v>
      </c>
      <c r="AJ520" s="10">
        <v>0</v>
      </c>
      <c r="AK520" s="10">
        <v>251.86747321811092</v>
      </c>
      <c r="AL520" s="10">
        <v>0</v>
      </c>
      <c r="AM520" s="10">
        <v>0</v>
      </c>
      <c r="AN520" s="10">
        <v>0</v>
      </c>
      <c r="AO520" s="10">
        <v>0</v>
      </c>
      <c r="AP520" s="16">
        <f t="shared" si="9"/>
        <v>251.86747321811092</v>
      </c>
    </row>
    <row r="521" spans="1:42" x14ac:dyDescent="0.25">
      <c r="A521" s="6" t="s">
        <v>150</v>
      </c>
      <c r="B521" s="6" t="s">
        <v>18</v>
      </c>
      <c r="C521" s="6" t="s">
        <v>62</v>
      </c>
      <c r="D521" s="7" t="s">
        <v>63</v>
      </c>
      <c r="E521" s="7" t="s">
        <v>21</v>
      </c>
      <c r="F521" s="7" t="s">
        <v>64</v>
      </c>
      <c r="G521" s="7" t="s">
        <v>23</v>
      </c>
      <c r="H521" s="7" t="s">
        <v>312</v>
      </c>
      <c r="I521" s="6" t="s">
        <v>66</v>
      </c>
      <c r="J521" s="6"/>
      <c r="K521" s="6"/>
      <c r="L521" s="6" t="s">
        <v>315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1490.2158832071436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0</v>
      </c>
      <c r="AE521" s="10">
        <v>0</v>
      </c>
      <c r="AF521" s="10">
        <v>0</v>
      </c>
      <c r="AG521" s="10">
        <v>0</v>
      </c>
      <c r="AH521" s="10">
        <v>0</v>
      </c>
      <c r="AI521" s="10">
        <v>0</v>
      </c>
      <c r="AJ521" s="10">
        <v>0</v>
      </c>
      <c r="AK521" s="10">
        <v>1490.2158832071436</v>
      </c>
      <c r="AL521" s="10">
        <v>0</v>
      </c>
      <c r="AM521" s="10">
        <v>0</v>
      </c>
      <c r="AN521" s="10">
        <v>0</v>
      </c>
      <c r="AO521" s="10">
        <v>0</v>
      </c>
      <c r="AP521" s="16">
        <f t="shared" si="9"/>
        <v>1490.2158832071436</v>
      </c>
    </row>
    <row r="522" spans="1:42" x14ac:dyDescent="0.25">
      <c r="A522" s="6" t="s">
        <v>38</v>
      </c>
      <c r="B522" s="6" t="s">
        <v>18</v>
      </c>
      <c r="C522" s="6" t="s">
        <v>62</v>
      </c>
      <c r="D522" s="7" t="s">
        <v>63</v>
      </c>
      <c r="E522" s="7" t="s">
        <v>21</v>
      </c>
      <c r="F522" s="7" t="s">
        <v>64</v>
      </c>
      <c r="G522" s="7" t="s">
        <v>23</v>
      </c>
      <c r="H522" s="7" t="s">
        <v>313</v>
      </c>
      <c r="I522" s="6" t="s">
        <v>66</v>
      </c>
      <c r="J522" s="6"/>
      <c r="K522" s="6"/>
      <c r="L522" s="6" t="s">
        <v>315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19330.828569490081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  <c r="AG522" s="10">
        <v>0</v>
      </c>
      <c r="AH522" s="10">
        <v>0</v>
      </c>
      <c r="AI522" s="10">
        <v>0</v>
      </c>
      <c r="AJ522" s="10">
        <v>0</v>
      </c>
      <c r="AK522" s="10">
        <v>19330.828569490081</v>
      </c>
      <c r="AL522" s="10">
        <v>0</v>
      </c>
      <c r="AM522" s="10">
        <v>0</v>
      </c>
      <c r="AN522" s="10">
        <v>0</v>
      </c>
      <c r="AO522" s="10">
        <v>0</v>
      </c>
      <c r="AP522" s="16">
        <f t="shared" si="9"/>
        <v>19330.828569490081</v>
      </c>
    </row>
    <row r="523" spans="1:42" x14ac:dyDescent="0.25">
      <c r="A523" s="6" t="s">
        <v>40</v>
      </c>
      <c r="B523" s="6" t="s">
        <v>18</v>
      </c>
      <c r="C523" s="6" t="s">
        <v>62</v>
      </c>
      <c r="D523" s="7" t="s">
        <v>63</v>
      </c>
      <c r="E523" s="7" t="s">
        <v>21</v>
      </c>
      <c r="F523" s="7" t="s">
        <v>64</v>
      </c>
      <c r="G523" s="7" t="s">
        <v>23</v>
      </c>
      <c r="H523" s="7" t="s">
        <v>314</v>
      </c>
      <c r="I523" s="6" t="s">
        <v>66</v>
      </c>
      <c r="J523" s="6"/>
      <c r="K523" s="6"/>
      <c r="L523" s="6" t="s">
        <v>315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1490.2158832071436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  <c r="AG523" s="10">
        <v>0</v>
      </c>
      <c r="AH523" s="10">
        <v>0</v>
      </c>
      <c r="AI523" s="10">
        <v>0</v>
      </c>
      <c r="AJ523" s="10">
        <v>0</v>
      </c>
      <c r="AK523" s="10">
        <v>1490.2158832071436</v>
      </c>
      <c r="AL523" s="10">
        <v>0</v>
      </c>
      <c r="AM523" s="10">
        <v>0</v>
      </c>
      <c r="AN523" s="10">
        <v>0</v>
      </c>
      <c r="AO523" s="10">
        <v>0</v>
      </c>
      <c r="AP523" s="16">
        <f t="shared" si="9"/>
        <v>1490.2158832071436</v>
      </c>
    </row>
    <row r="524" spans="1:42" x14ac:dyDescent="0.25">
      <c r="A524" s="6" t="s">
        <v>42</v>
      </c>
      <c r="B524" s="6" t="s">
        <v>18</v>
      </c>
      <c r="C524" s="6" t="s">
        <v>62</v>
      </c>
      <c r="D524" s="7" t="s">
        <v>63</v>
      </c>
      <c r="E524" s="7" t="s">
        <v>21</v>
      </c>
      <c r="F524" s="7" t="s">
        <v>64</v>
      </c>
      <c r="G524" s="7" t="s">
        <v>23</v>
      </c>
      <c r="H524" s="7" t="s">
        <v>316</v>
      </c>
      <c r="I524" s="6" t="s">
        <v>66</v>
      </c>
      <c r="J524" s="6"/>
      <c r="K524" s="6"/>
      <c r="L524" s="6" t="s">
        <v>315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6548.5524033661068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0</v>
      </c>
      <c r="AE524" s="10">
        <v>0</v>
      </c>
      <c r="AF524" s="10">
        <v>0</v>
      </c>
      <c r="AG524" s="10">
        <v>0</v>
      </c>
      <c r="AH524" s="10">
        <v>0</v>
      </c>
      <c r="AI524" s="10">
        <v>0</v>
      </c>
      <c r="AJ524" s="10">
        <v>0</v>
      </c>
      <c r="AK524" s="10">
        <f>X524</f>
        <v>6548.5524033661068</v>
      </c>
      <c r="AL524" s="10">
        <v>0</v>
      </c>
      <c r="AM524" s="10">
        <v>0</v>
      </c>
      <c r="AN524" s="10">
        <v>0</v>
      </c>
      <c r="AO524" s="10">
        <v>0</v>
      </c>
      <c r="AP524" s="16">
        <f t="shared" ref="AP524" si="10">SUM(AK524:AO524)</f>
        <v>6548.5524033661068</v>
      </c>
    </row>
  </sheetData>
  <mergeCells count="2">
    <mergeCell ref="M2:AJ2"/>
    <mergeCell ref="AK2:AP2"/>
  </mergeCells>
  <conditionalFormatting sqref="H4:H524">
    <cfRule type="containsText" dxfId="3" priority="7" operator="containsText" text="Inexistente">
      <formula>NOT(ISERROR(SEARCH("Inexistente",H4)))</formula>
    </cfRule>
  </conditionalFormatting>
  <conditionalFormatting sqref="I4:I514">
    <cfRule type="expression" dxfId="2" priority="8">
      <formula>AND($F4&lt;&gt;"",$L4="")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DFA06-D8F9-4D17-86AD-1E462C3D3D85}">
  <dimension ref="A1:BV241"/>
  <sheetViews>
    <sheetView showGridLines="0" topLeftCell="H157" workbookViewId="0"/>
  </sheetViews>
  <sheetFormatPr defaultColWidth="8.7109375" defaultRowHeight="15" x14ac:dyDescent="0.25"/>
  <cols>
    <col min="1" max="1" width="8.85546875" bestFit="1" customWidth="1"/>
    <col min="2" max="2" width="9.28515625" bestFit="1" customWidth="1"/>
    <col min="3" max="3" width="2.85546875" bestFit="1" customWidth="1"/>
    <col min="4" max="4" width="16.140625" bestFit="1" customWidth="1"/>
    <col min="5" max="5" width="27.140625" bestFit="1" customWidth="1"/>
    <col min="6" max="6" width="19.28515625" bestFit="1" customWidth="1"/>
    <col min="7" max="7" width="12" bestFit="1" customWidth="1"/>
    <col min="8" max="8" width="24.7109375" bestFit="1" customWidth="1"/>
    <col min="9" max="9" width="32.42578125" bestFit="1" customWidth="1"/>
    <col min="10" max="10" width="8.28515625" bestFit="1" customWidth="1"/>
    <col min="11" max="11" width="23.28515625" bestFit="1" customWidth="1"/>
    <col min="12" max="12" width="21.7109375" bestFit="1" customWidth="1"/>
    <col min="13" max="13" width="15.140625" bestFit="1" customWidth="1"/>
    <col min="14" max="14" width="32.28515625" bestFit="1" customWidth="1"/>
    <col min="15" max="15" width="5.140625" bestFit="1" customWidth="1"/>
    <col min="16" max="16" width="5" bestFit="1" customWidth="1"/>
    <col min="17" max="17" width="5.7109375" bestFit="1" customWidth="1"/>
    <col min="18" max="18" width="5.28515625" bestFit="1" customWidth="1"/>
    <col min="19" max="19" width="5.7109375" bestFit="1" customWidth="1"/>
    <col min="20" max="20" width="5.140625" bestFit="1" customWidth="1"/>
    <col min="21" max="21" width="4.7109375" bestFit="1" customWidth="1"/>
    <col min="22" max="25" width="5.28515625" bestFit="1" customWidth="1"/>
    <col min="26" max="26" width="5.42578125" bestFit="1" customWidth="1"/>
    <col min="27" max="27" width="5.140625" bestFit="1" customWidth="1"/>
    <col min="28" max="28" width="5" bestFit="1" customWidth="1"/>
    <col min="29" max="29" width="5.7109375" bestFit="1" customWidth="1"/>
    <col min="30" max="30" width="5.28515625" bestFit="1" customWidth="1"/>
    <col min="31" max="31" width="5.7109375" bestFit="1" customWidth="1"/>
    <col min="32" max="32" width="5.140625" bestFit="1" customWidth="1"/>
    <col min="33" max="33" width="4.7109375" bestFit="1" customWidth="1"/>
    <col min="34" max="37" width="5.28515625" bestFit="1" customWidth="1"/>
    <col min="38" max="38" width="5.42578125" bestFit="1" customWidth="1"/>
    <col min="39" max="43" width="5.28515625" bestFit="1" customWidth="1"/>
    <col min="44" max="44" width="5.140625" bestFit="1" customWidth="1"/>
    <col min="45" max="45" width="5" bestFit="1" customWidth="1"/>
    <col min="46" max="46" width="5.7109375" bestFit="1" customWidth="1"/>
    <col min="47" max="47" width="11.28515625" bestFit="1" customWidth="1"/>
    <col min="48" max="48" width="12.7109375" bestFit="1" customWidth="1"/>
    <col min="49" max="50" width="11.28515625" bestFit="1" customWidth="1"/>
    <col min="51" max="52" width="13.7109375" bestFit="1" customWidth="1"/>
    <col min="53" max="55" width="11.28515625" bestFit="1" customWidth="1"/>
    <col min="56" max="57" width="10.28515625" bestFit="1" customWidth="1"/>
    <col min="58" max="58" width="5.7109375" bestFit="1" customWidth="1"/>
    <col min="59" max="59" width="5.28515625" bestFit="1" customWidth="1"/>
    <col min="60" max="60" width="5.7109375" bestFit="1" customWidth="1"/>
    <col min="61" max="61" width="5.140625" bestFit="1" customWidth="1"/>
    <col min="62" max="62" width="4.7109375" bestFit="1" customWidth="1"/>
    <col min="63" max="63" width="5.28515625" bestFit="1" customWidth="1"/>
    <col min="64" max="64" width="13.7109375" bestFit="1" customWidth="1"/>
    <col min="65" max="66" width="5.28515625" bestFit="1" customWidth="1"/>
    <col min="67" max="67" width="5.42578125" bestFit="1" customWidth="1"/>
    <col min="68" max="72" width="13.7109375" bestFit="1" customWidth="1"/>
    <col min="73" max="73" width="14.7109375" bestFit="1" customWidth="1"/>
    <col min="74" max="74" width="11.7109375" bestFit="1" customWidth="1"/>
  </cols>
  <sheetData>
    <row r="1" spans="1:74" x14ac:dyDescent="0.25">
      <c r="AR1" s="15">
        <f>SUBTOTAL(9,AR4:AR241)</f>
        <v>0</v>
      </c>
      <c r="AS1" s="15">
        <f t="shared" ref="AS1:BU1" si="0">SUBTOTAL(9,AS4:AS241)</f>
        <v>0</v>
      </c>
      <c r="AT1" s="15">
        <f t="shared" si="0"/>
        <v>0</v>
      </c>
      <c r="AU1" s="15">
        <f t="shared" si="0"/>
        <v>298897.03777275112</v>
      </c>
      <c r="AV1" s="15">
        <f t="shared" si="0"/>
        <v>4401895.066333266</v>
      </c>
      <c r="AW1" s="15">
        <f t="shared" si="0"/>
        <v>229032.92466140527</v>
      </c>
      <c r="AX1" s="15">
        <f t="shared" si="0"/>
        <v>209584.82270036364</v>
      </c>
      <c r="AY1" s="15">
        <f t="shared" si="0"/>
        <v>16021059.895693442</v>
      </c>
      <c r="AZ1" s="15">
        <f t="shared" si="0"/>
        <v>16111374.876664769</v>
      </c>
      <c r="BA1" s="15">
        <f t="shared" si="0"/>
        <v>198805.38541415622</v>
      </c>
      <c r="BB1" s="15">
        <f t="shared" si="0"/>
        <v>198805.38541415622</v>
      </c>
      <c r="BC1" s="15">
        <f t="shared" si="0"/>
        <v>198805.38541415622</v>
      </c>
      <c r="BD1" s="15">
        <f t="shared" si="0"/>
        <v>24850.673176769527</v>
      </c>
      <c r="BE1" s="15">
        <f t="shared" si="0"/>
        <v>24850.673176769527</v>
      </c>
      <c r="BF1" s="15">
        <f t="shared" si="0"/>
        <v>0</v>
      </c>
      <c r="BG1" s="15">
        <f t="shared" si="0"/>
        <v>0</v>
      </c>
      <c r="BH1" s="15">
        <f t="shared" si="0"/>
        <v>0</v>
      </c>
      <c r="BI1" s="15">
        <f t="shared" si="0"/>
        <v>0</v>
      </c>
      <c r="BJ1" s="15">
        <f t="shared" si="0"/>
        <v>0</v>
      </c>
      <c r="BK1" s="15">
        <f t="shared" si="0"/>
        <v>0</v>
      </c>
      <c r="BL1" s="15">
        <f t="shared" si="0"/>
        <v>16689861.162649538</v>
      </c>
      <c r="BM1" s="15">
        <f t="shared" si="0"/>
        <v>0</v>
      </c>
      <c r="BN1" s="15">
        <f t="shared" si="0"/>
        <v>0</v>
      </c>
      <c r="BO1" s="15">
        <f t="shared" si="0"/>
        <v>0</v>
      </c>
      <c r="BP1" s="15">
        <f t="shared" si="0"/>
        <v>37868260.780068487</v>
      </c>
      <c r="BQ1" s="15">
        <f t="shared" si="0"/>
        <v>16739562.509003077</v>
      </c>
      <c r="BR1" s="15">
        <f t="shared" si="0"/>
        <v>21994909.977083862</v>
      </c>
      <c r="BS1" s="15">
        <f t="shared" si="0"/>
        <v>19894260.819253389</v>
      </c>
      <c r="BT1" s="15">
        <f t="shared" si="0"/>
        <v>22740698.300208934</v>
      </c>
      <c r="BU1" s="15">
        <f t="shared" si="0"/>
        <v>119237692.38561773</v>
      </c>
    </row>
    <row r="2" spans="1:74" x14ac:dyDescent="0.25">
      <c r="O2" s="20" t="s">
        <v>303</v>
      </c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2"/>
      <c r="AN2" s="22"/>
      <c r="AO2" s="22"/>
      <c r="AP2" s="22"/>
      <c r="AQ2" s="23"/>
      <c r="AR2" s="24" t="s">
        <v>304</v>
      </c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6" t="s">
        <v>304</v>
      </c>
      <c r="BQ2" s="27"/>
      <c r="BR2" s="27"/>
      <c r="BS2" s="27"/>
      <c r="BT2" s="27"/>
      <c r="BU2" s="28"/>
    </row>
    <row r="3" spans="1:74" s="8" customForma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3" t="s">
        <v>299</v>
      </c>
      <c r="L3" s="13" t="s">
        <v>300</v>
      </c>
      <c r="M3" s="13" t="s">
        <v>301</v>
      </c>
      <c r="N3" s="14" t="s">
        <v>302</v>
      </c>
      <c r="O3" s="2">
        <v>46023</v>
      </c>
      <c r="P3" s="2">
        <v>46054</v>
      </c>
      <c r="Q3" s="2">
        <v>46082</v>
      </c>
      <c r="R3" s="2">
        <v>46113</v>
      </c>
      <c r="S3" s="2">
        <v>46143</v>
      </c>
      <c r="T3" s="2">
        <v>46174</v>
      </c>
      <c r="U3" s="2">
        <v>46204</v>
      </c>
      <c r="V3" s="2">
        <v>46235</v>
      </c>
      <c r="W3" s="2">
        <v>46266</v>
      </c>
      <c r="X3" s="2">
        <v>46296</v>
      </c>
      <c r="Y3" s="2">
        <v>46327</v>
      </c>
      <c r="Z3" s="2">
        <v>46357</v>
      </c>
      <c r="AA3" s="2">
        <v>46388</v>
      </c>
      <c r="AB3" s="2">
        <v>46419</v>
      </c>
      <c r="AC3" s="2">
        <v>46447</v>
      </c>
      <c r="AD3" s="2">
        <v>46478</v>
      </c>
      <c r="AE3" s="2">
        <v>46508</v>
      </c>
      <c r="AF3" s="2">
        <v>46539</v>
      </c>
      <c r="AG3" s="2">
        <v>46569</v>
      </c>
      <c r="AH3" s="2">
        <v>46600</v>
      </c>
      <c r="AI3" s="2">
        <v>46631</v>
      </c>
      <c r="AJ3" s="2">
        <v>46661</v>
      </c>
      <c r="AK3" s="2">
        <v>46692</v>
      </c>
      <c r="AL3" s="2">
        <v>46722</v>
      </c>
      <c r="AM3" s="3">
        <v>2026</v>
      </c>
      <c r="AN3" s="3">
        <v>2027</v>
      </c>
      <c r="AO3" s="3">
        <v>2028</v>
      </c>
      <c r="AP3" s="3">
        <v>2029</v>
      </c>
      <c r="AQ3" s="3">
        <v>2030</v>
      </c>
      <c r="AR3" s="4">
        <v>46023</v>
      </c>
      <c r="AS3" s="4">
        <v>46054</v>
      </c>
      <c r="AT3" s="4">
        <v>46082</v>
      </c>
      <c r="AU3" s="4">
        <v>46113</v>
      </c>
      <c r="AV3" s="4">
        <v>46143</v>
      </c>
      <c r="AW3" s="4">
        <v>46174</v>
      </c>
      <c r="AX3" s="4">
        <v>46204</v>
      </c>
      <c r="AY3" s="4">
        <v>46235</v>
      </c>
      <c r="AZ3" s="4">
        <v>46266</v>
      </c>
      <c r="BA3" s="4">
        <v>46296</v>
      </c>
      <c r="BB3" s="4">
        <v>46327</v>
      </c>
      <c r="BC3" s="4">
        <v>46357</v>
      </c>
      <c r="BD3" s="4">
        <v>46388</v>
      </c>
      <c r="BE3" s="4">
        <v>46419</v>
      </c>
      <c r="BF3" s="4">
        <v>46447</v>
      </c>
      <c r="BG3" s="4">
        <v>46478</v>
      </c>
      <c r="BH3" s="4">
        <v>46508</v>
      </c>
      <c r="BI3" s="4">
        <v>46539</v>
      </c>
      <c r="BJ3" s="4">
        <v>46569</v>
      </c>
      <c r="BK3" s="4">
        <v>46600</v>
      </c>
      <c r="BL3" s="4">
        <v>46631</v>
      </c>
      <c r="BM3" s="4">
        <v>46661</v>
      </c>
      <c r="BN3" s="4">
        <v>46692</v>
      </c>
      <c r="BO3" s="4">
        <v>46722</v>
      </c>
      <c r="BP3" s="5">
        <v>2026</v>
      </c>
      <c r="BQ3" s="5">
        <v>2027</v>
      </c>
      <c r="BR3" s="5">
        <v>2028</v>
      </c>
      <c r="BS3" s="5">
        <v>2029</v>
      </c>
      <c r="BT3" s="5">
        <v>2030</v>
      </c>
      <c r="BU3" s="5" t="s">
        <v>305</v>
      </c>
      <c r="BV3"/>
    </row>
    <row r="4" spans="1:74" x14ac:dyDescent="0.25">
      <c r="A4" s="6" t="s">
        <v>38</v>
      </c>
      <c r="B4" s="6" t="s">
        <v>18</v>
      </c>
      <c r="C4" s="17" t="s">
        <v>240</v>
      </c>
      <c r="D4" s="7" t="s">
        <v>241</v>
      </c>
      <c r="E4" s="7" t="s">
        <v>21</v>
      </c>
      <c r="F4" s="7" t="s">
        <v>242</v>
      </c>
      <c r="G4" s="7" t="s">
        <v>23</v>
      </c>
      <c r="H4" s="7" t="s">
        <v>243</v>
      </c>
      <c r="I4" s="6" t="s">
        <v>76</v>
      </c>
      <c r="J4" s="7" t="s">
        <v>244</v>
      </c>
      <c r="K4" s="6" t="s">
        <v>245</v>
      </c>
      <c r="L4" s="9">
        <v>12080</v>
      </c>
      <c r="M4" s="10">
        <v>0</v>
      </c>
      <c r="N4" s="6" t="s">
        <v>246</v>
      </c>
      <c r="O4" s="11">
        <v>0</v>
      </c>
      <c r="P4" s="11"/>
      <c r="Q4" s="11"/>
      <c r="R4" s="11">
        <v>25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0">
        <v>25</v>
      </c>
      <c r="AN4" s="10">
        <v>0</v>
      </c>
      <c r="AO4" s="11">
        <v>0</v>
      </c>
      <c r="AP4" s="11">
        <v>0</v>
      </c>
      <c r="AQ4" s="11">
        <v>0</v>
      </c>
      <c r="AR4" s="10">
        <v>0</v>
      </c>
      <c r="AS4" s="10">
        <v>0</v>
      </c>
      <c r="AT4" s="10">
        <v>0</v>
      </c>
      <c r="AU4" s="10">
        <v>298897.03777275112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6">
        <v>298897.03777275112</v>
      </c>
      <c r="BQ4" s="7">
        <v>0</v>
      </c>
      <c r="BR4" s="7">
        <v>0</v>
      </c>
      <c r="BS4" s="7">
        <v>0</v>
      </c>
      <c r="BT4" s="7">
        <v>0</v>
      </c>
      <c r="BU4" s="16">
        <f>SUM(BP4:BT4)</f>
        <v>298897.03777275112</v>
      </c>
    </row>
    <row r="5" spans="1:74" x14ac:dyDescent="0.25">
      <c r="A5" s="6" t="s">
        <v>28</v>
      </c>
      <c r="B5" s="6" t="s">
        <v>18</v>
      </c>
      <c r="C5" s="17" t="s">
        <v>240</v>
      </c>
      <c r="D5" s="7" t="s">
        <v>241</v>
      </c>
      <c r="E5" s="7" t="s">
        <v>21</v>
      </c>
      <c r="F5" s="7" t="s">
        <v>242</v>
      </c>
      <c r="G5" s="7" t="s">
        <v>23</v>
      </c>
      <c r="H5" s="7" t="s">
        <v>247</v>
      </c>
      <c r="I5" s="6" t="s">
        <v>248</v>
      </c>
      <c r="J5" s="7" t="s">
        <v>244</v>
      </c>
      <c r="K5" s="6" t="s">
        <v>245</v>
      </c>
      <c r="L5" s="9">
        <v>11826.177604000002</v>
      </c>
      <c r="M5" s="10">
        <v>0</v>
      </c>
      <c r="N5" s="6" t="s">
        <v>108</v>
      </c>
      <c r="O5" s="11">
        <v>0</v>
      </c>
      <c r="P5" s="11"/>
      <c r="Q5" s="11"/>
      <c r="R5" s="11"/>
      <c r="S5" s="11">
        <v>7</v>
      </c>
      <c r="T5" s="11">
        <v>7</v>
      </c>
      <c r="U5" s="11">
        <v>7</v>
      </c>
      <c r="V5" s="11">
        <v>7</v>
      </c>
      <c r="W5" s="11">
        <v>8</v>
      </c>
      <c r="X5" s="11">
        <v>8</v>
      </c>
      <c r="Y5" s="11">
        <v>8</v>
      </c>
      <c r="Z5" s="11">
        <v>8</v>
      </c>
      <c r="AA5" s="11">
        <v>1</v>
      </c>
      <c r="AB5" s="11">
        <v>1</v>
      </c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0">
        <v>60</v>
      </c>
      <c r="AN5" s="10">
        <v>2</v>
      </c>
      <c r="AO5" s="11">
        <v>0</v>
      </c>
      <c r="AP5" s="11">
        <v>0</v>
      </c>
      <c r="AQ5" s="11">
        <v>0</v>
      </c>
      <c r="AR5" s="10">
        <v>0</v>
      </c>
      <c r="AS5" s="10">
        <v>0</v>
      </c>
      <c r="AT5" s="10">
        <v>0</v>
      </c>
      <c r="AU5" s="10">
        <v>0</v>
      </c>
      <c r="AV5" s="10">
        <v>81932.669463809158</v>
      </c>
      <c r="AW5" s="10">
        <v>81932.669463809158</v>
      </c>
      <c r="AX5" s="10">
        <v>81932.669463809158</v>
      </c>
      <c r="AY5" s="10">
        <v>81932.669463809158</v>
      </c>
      <c r="AZ5" s="10">
        <v>93637.336530067594</v>
      </c>
      <c r="BA5" s="10">
        <v>93637.336530067594</v>
      </c>
      <c r="BB5" s="10">
        <v>93637.336530067594</v>
      </c>
      <c r="BC5" s="10">
        <v>93637.336530067594</v>
      </c>
      <c r="BD5" s="10">
        <v>11704.667066258449</v>
      </c>
      <c r="BE5" s="10">
        <v>11704.667066258449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2">
        <v>702280.02397550701</v>
      </c>
      <c r="BQ5" s="12">
        <v>23409.334132516899</v>
      </c>
      <c r="BR5" s="12">
        <v>0</v>
      </c>
      <c r="BS5" s="12">
        <v>0</v>
      </c>
      <c r="BT5" s="12">
        <v>0</v>
      </c>
      <c r="BU5" s="12">
        <f t="shared" ref="BU5:BU68" si="1">SUM(BP5:BT5)</f>
        <v>725689.35810802388</v>
      </c>
    </row>
    <row r="6" spans="1:74" x14ac:dyDescent="0.25">
      <c r="A6" s="6" t="s">
        <v>30</v>
      </c>
      <c r="B6" s="6" t="s">
        <v>18</v>
      </c>
      <c r="C6" s="17" t="s">
        <v>240</v>
      </c>
      <c r="D6" s="7" t="s">
        <v>241</v>
      </c>
      <c r="E6" s="7" t="s">
        <v>21</v>
      </c>
      <c r="F6" s="7" t="s">
        <v>242</v>
      </c>
      <c r="G6" s="7" t="s">
        <v>23</v>
      </c>
      <c r="H6" s="7" t="s">
        <v>249</v>
      </c>
      <c r="I6" s="6" t="s">
        <v>248</v>
      </c>
      <c r="J6" s="7" t="s">
        <v>244</v>
      </c>
      <c r="K6" s="6" t="s">
        <v>245</v>
      </c>
      <c r="L6" s="9">
        <v>4645.1016066666662</v>
      </c>
      <c r="M6" s="10">
        <v>0</v>
      </c>
      <c r="N6" s="6" t="s">
        <v>108</v>
      </c>
      <c r="O6" s="11">
        <v>0</v>
      </c>
      <c r="P6" s="11"/>
      <c r="Q6" s="11"/>
      <c r="R6" s="11"/>
      <c r="S6" s="11">
        <v>7</v>
      </c>
      <c r="T6" s="11">
        <v>7</v>
      </c>
      <c r="U6" s="11">
        <v>7</v>
      </c>
      <c r="V6" s="11">
        <v>7</v>
      </c>
      <c r="W6" s="11">
        <v>8</v>
      </c>
      <c r="X6" s="11">
        <v>8</v>
      </c>
      <c r="Y6" s="11">
        <v>8</v>
      </c>
      <c r="Z6" s="11">
        <v>8</v>
      </c>
      <c r="AA6" s="11">
        <v>1</v>
      </c>
      <c r="AB6" s="11">
        <v>1</v>
      </c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0">
        <v>60</v>
      </c>
      <c r="AN6" s="10">
        <v>2</v>
      </c>
      <c r="AO6" s="11">
        <v>0</v>
      </c>
      <c r="AP6" s="11">
        <v>0</v>
      </c>
      <c r="AQ6" s="11">
        <v>0</v>
      </c>
      <c r="AR6" s="10">
        <v>0</v>
      </c>
      <c r="AS6" s="10">
        <v>0</v>
      </c>
      <c r="AT6" s="10">
        <v>0</v>
      </c>
      <c r="AU6" s="10">
        <v>0</v>
      </c>
      <c r="AV6" s="10">
        <v>32181.621763916533</v>
      </c>
      <c r="AW6" s="10">
        <v>32181.621763916533</v>
      </c>
      <c r="AX6" s="10">
        <v>32181.621763916533</v>
      </c>
      <c r="AY6" s="10">
        <v>32181.621763916533</v>
      </c>
      <c r="AZ6" s="10">
        <v>36778.996301618892</v>
      </c>
      <c r="BA6" s="10">
        <v>36778.996301618892</v>
      </c>
      <c r="BB6" s="10">
        <v>36778.996301618892</v>
      </c>
      <c r="BC6" s="10">
        <v>36778.996301618892</v>
      </c>
      <c r="BD6" s="10">
        <v>4597.3745377023615</v>
      </c>
      <c r="BE6" s="10">
        <v>4597.3745377023615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2">
        <v>275842.4722621417</v>
      </c>
      <c r="BQ6" s="12">
        <v>9194.749075404723</v>
      </c>
      <c r="BR6" s="12">
        <v>0</v>
      </c>
      <c r="BS6" s="12">
        <v>0</v>
      </c>
      <c r="BT6" s="12">
        <v>0</v>
      </c>
      <c r="BU6" s="12">
        <f t="shared" si="1"/>
        <v>285037.22133754642</v>
      </c>
    </row>
    <row r="7" spans="1:74" x14ac:dyDescent="0.25">
      <c r="A7" s="6" t="s">
        <v>32</v>
      </c>
      <c r="B7" s="6" t="s">
        <v>18</v>
      </c>
      <c r="C7" s="17" t="s">
        <v>240</v>
      </c>
      <c r="D7" s="7" t="s">
        <v>241</v>
      </c>
      <c r="E7" s="7" t="s">
        <v>21</v>
      </c>
      <c r="F7" s="7" t="s">
        <v>242</v>
      </c>
      <c r="G7" s="7" t="s">
        <v>23</v>
      </c>
      <c r="H7" s="7" t="s">
        <v>250</v>
      </c>
      <c r="I7" s="6" t="s">
        <v>248</v>
      </c>
      <c r="J7" s="7" t="s">
        <v>244</v>
      </c>
      <c r="K7" s="6" t="s">
        <v>245</v>
      </c>
      <c r="L7" s="9">
        <v>1205.2155520000003</v>
      </c>
      <c r="M7" s="10">
        <v>0</v>
      </c>
      <c r="N7" s="6" t="s">
        <v>108</v>
      </c>
      <c r="O7" s="11">
        <v>0</v>
      </c>
      <c r="P7" s="11"/>
      <c r="Q7" s="11"/>
      <c r="R7" s="11"/>
      <c r="S7" s="11">
        <v>7</v>
      </c>
      <c r="T7" s="11">
        <v>7</v>
      </c>
      <c r="U7" s="11">
        <v>7</v>
      </c>
      <c r="V7" s="11">
        <v>7</v>
      </c>
      <c r="W7" s="11">
        <v>8</v>
      </c>
      <c r="X7" s="11">
        <v>8</v>
      </c>
      <c r="Y7" s="11">
        <v>8</v>
      </c>
      <c r="Z7" s="11">
        <v>8</v>
      </c>
      <c r="AA7" s="11">
        <v>1</v>
      </c>
      <c r="AB7" s="11">
        <v>1</v>
      </c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0">
        <v>60</v>
      </c>
      <c r="AN7" s="10">
        <v>2</v>
      </c>
      <c r="AO7" s="11">
        <v>0</v>
      </c>
      <c r="AP7" s="11">
        <v>0</v>
      </c>
      <c r="AQ7" s="11">
        <v>0</v>
      </c>
      <c r="AR7" s="10">
        <v>0</v>
      </c>
      <c r="AS7" s="10">
        <v>0</v>
      </c>
      <c r="AT7" s="10">
        <v>0</v>
      </c>
      <c r="AU7" s="10">
        <v>0</v>
      </c>
      <c r="AV7" s="10">
        <v>8349.8261873945648</v>
      </c>
      <c r="AW7" s="10">
        <v>8349.8261873945648</v>
      </c>
      <c r="AX7" s="10">
        <v>8349.8261873945648</v>
      </c>
      <c r="AY7" s="10">
        <v>8349.8261873945648</v>
      </c>
      <c r="AZ7" s="10">
        <v>9542.6584998795006</v>
      </c>
      <c r="BA7" s="10">
        <v>9542.6584998795006</v>
      </c>
      <c r="BB7" s="10">
        <v>9542.6584998795006</v>
      </c>
      <c r="BC7" s="10">
        <v>9542.6584998795006</v>
      </c>
      <c r="BD7" s="10">
        <v>1192.8323124849376</v>
      </c>
      <c r="BE7" s="10">
        <v>1192.8323124849376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2">
        <v>71569.938749096269</v>
      </c>
      <c r="BQ7" s="12">
        <v>2385.6646249698751</v>
      </c>
      <c r="BR7" s="12">
        <v>0</v>
      </c>
      <c r="BS7" s="12">
        <v>0</v>
      </c>
      <c r="BT7" s="12">
        <v>0</v>
      </c>
      <c r="BU7" s="12">
        <f t="shared" si="1"/>
        <v>73955.603374066151</v>
      </c>
    </row>
    <row r="8" spans="1:74" x14ac:dyDescent="0.25">
      <c r="A8" s="6" t="s">
        <v>34</v>
      </c>
      <c r="B8" s="6" t="s">
        <v>18</v>
      </c>
      <c r="C8" s="17" t="s">
        <v>240</v>
      </c>
      <c r="D8" s="7" t="s">
        <v>241</v>
      </c>
      <c r="E8" s="7" t="s">
        <v>21</v>
      </c>
      <c r="F8" s="7" t="s">
        <v>242</v>
      </c>
      <c r="G8" s="7" t="s">
        <v>23</v>
      </c>
      <c r="H8" s="7" t="s">
        <v>251</v>
      </c>
      <c r="I8" s="6" t="s">
        <v>248</v>
      </c>
      <c r="J8" s="7" t="s">
        <v>244</v>
      </c>
      <c r="K8" s="6" t="s">
        <v>245</v>
      </c>
      <c r="L8" s="9">
        <v>7432.1625706666673</v>
      </c>
      <c r="M8" s="10">
        <v>0</v>
      </c>
      <c r="N8" s="6" t="s">
        <v>108</v>
      </c>
      <c r="O8" s="11">
        <v>0</v>
      </c>
      <c r="P8" s="11"/>
      <c r="Q8" s="11"/>
      <c r="R8" s="11"/>
      <c r="S8" s="11">
        <v>7</v>
      </c>
      <c r="T8" s="11">
        <v>7</v>
      </c>
      <c r="U8" s="11">
        <v>7</v>
      </c>
      <c r="V8" s="11">
        <v>7</v>
      </c>
      <c r="W8" s="11">
        <v>8</v>
      </c>
      <c r="X8" s="11">
        <v>8</v>
      </c>
      <c r="Y8" s="11">
        <v>8</v>
      </c>
      <c r="Z8" s="11">
        <v>8</v>
      </c>
      <c r="AA8" s="11">
        <v>1</v>
      </c>
      <c r="AB8" s="11">
        <v>1</v>
      </c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0">
        <v>60</v>
      </c>
      <c r="AN8" s="10">
        <v>2</v>
      </c>
      <c r="AO8" s="11">
        <v>0</v>
      </c>
      <c r="AP8" s="11">
        <v>0</v>
      </c>
      <c r="AQ8" s="11">
        <v>0</v>
      </c>
      <c r="AR8" s="10">
        <v>0</v>
      </c>
      <c r="AS8" s="10">
        <v>0</v>
      </c>
      <c r="AT8" s="10">
        <v>0</v>
      </c>
      <c r="AU8" s="10">
        <v>0</v>
      </c>
      <c r="AV8" s="10">
        <v>51490.594822266467</v>
      </c>
      <c r="AW8" s="10">
        <v>51490.594822266467</v>
      </c>
      <c r="AX8" s="10">
        <v>51490.594822266467</v>
      </c>
      <c r="AY8" s="10">
        <v>51490.594822266467</v>
      </c>
      <c r="AZ8" s="10">
        <v>58846.394082590246</v>
      </c>
      <c r="BA8" s="10">
        <v>58846.394082590246</v>
      </c>
      <c r="BB8" s="10">
        <v>58846.394082590246</v>
      </c>
      <c r="BC8" s="10">
        <v>58846.394082590246</v>
      </c>
      <c r="BD8" s="10">
        <v>7355.7992603237808</v>
      </c>
      <c r="BE8" s="10">
        <v>7355.7992603237808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2">
        <v>441347.95561942685</v>
      </c>
      <c r="BQ8" s="12">
        <v>14711.598520647562</v>
      </c>
      <c r="BR8" s="12">
        <v>0</v>
      </c>
      <c r="BS8" s="12">
        <v>0</v>
      </c>
      <c r="BT8" s="12">
        <v>0</v>
      </c>
      <c r="BU8" s="12">
        <f t="shared" si="1"/>
        <v>456059.55414007441</v>
      </c>
    </row>
    <row r="9" spans="1:74" x14ac:dyDescent="0.25">
      <c r="A9" s="6" t="s">
        <v>28</v>
      </c>
      <c r="B9" s="6" t="s">
        <v>18</v>
      </c>
      <c r="C9" s="18" t="s">
        <v>240</v>
      </c>
      <c r="D9" s="7" t="s">
        <v>241</v>
      </c>
      <c r="E9" s="7" t="s">
        <v>21</v>
      </c>
      <c r="F9" s="7" t="s">
        <v>242</v>
      </c>
      <c r="G9" s="7" t="s">
        <v>23</v>
      </c>
      <c r="H9" s="7" t="s">
        <v>247</v>
      </c>
      <c r="I9" s="6" t="s">
        <v>252</v>
      </c>
      <c r="J9" s="7" t="s">
        <v>244</v>
      </c>
      <c r="K9" s="6" t="s">
        <v>253</v>
      </c>
      <c r="L9" s="9">
        <v>12067.922794210041</v>
      </c>
      <c r="M9" s="10">
        <v>12430.000000000002</v>
      </c>
      <c r="N9" s="6" t="s">
        <v>253</v>
      </c>
      <c r="O9" s="11">
        <v>0</v>
      </c>
      <c r="P9" s="11"/>
      <c r="Q9" s="11"/>
      <c r="R9" s="11"/>
      <c r="S9" s="11"/>
      <c r="T9" s="11"/>
      <c r="U9" s="11"/>
      <c r="V9" s="11"/>
      <c r="W9" s="11">
        <v>5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>
        <v>6</v>
      </c>
      <c r="AJ9" s="11"/>
      <c r="AK9" s="11"/>
      <c r="AL9" s="11"/>
      <c r="AM9" s="10">
        <v>5</v>
      </c>
      <c r="AN9" s="10">
        <v>6</v>
      </c>
      <c r="AO9" s="11">
        <v>5.6163889155199991</v>
      </c>
      <c r="AP9" s="11">
        <v>5.9525185593360392</v>
      </c>
      <c r="AQ9" s="11">
        <v>6.3087648900751816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59719.64197449739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71663.570369396868</v>
      </c>
      <c r="BM9" s="10">
        <v>0</v>
      </c>
      <c r="BN9" s="10">
        <v>0</v>
      </c>
      <c r="BO9" s="10">
        <v>0</v>
      </c>
      <c r="BP9" s="12">
        <v>59719.64197449739</v>
      </c>
      <c r="BQ9" s="12">
        <v>71663.570369396868</v>
      </c>
      <c r="BR9" s="12">
        <v>67081.747044877993</v>
      </c>
      <c r="BS9" s="12">
        <v>71096.455442019855</v>
      </c>
      <c r="BT9" s="12">
        <v>75351.436107313857</v>
      </c>
      <c r="BU9" s="12">
        <f t="shared" si="1"/>
        <v>344912.85093810596</v>
      </c>
    </row>
    <row r="10" spans="1:74" x14ac:dyDescent="0.25">
      <c r="A10" s="6" t="s">
        <v>30</v>
      </c>
      <c r="B10" s="6" t="s">
        <v>18</v>
      </c>
      <c r="C10" s="18" t="s">
        <v>240</v>
      </c>
      <c r="D10" s="7" t="s">
        <v>241</v>
      </c>
      <c r="E10" s="7" t="s">
        <v>21</v>
      </c>
      <c r="F10" s="7" t="s">
        <v>242</v>
      </c>
      <c r="G10" s="7" t="s">
        <v>23</v>
      </c>
      <c r="H10" s="7" t="s">
        <v>249</v>
      </c>
      <c r="I10" s="6" t="s">
        <v>252</v>
      </c>
      <c r="J10" s="7" t="s">
        <v>244</v>
      </c>
      <c r="K10" s="6" t="s">
        <v>253</v>
      </c>
      <c r="L10" s="9">
        <v>12067.922794210041</v>
      </c>
      <c r="M10" s="10">
        <v>12430.000000000002</v>
      </c>
      <c r="N10" s="6" t="s">
        <v>253</v>
      </c>
      <c r="O10" s="11">
        <v>0</v>
      </c>
      <c r="P10" s="11"/>
      <c r="Q10" s="11"/>
      <c r="R10" s="11"/>
      <c r="S10" s="11"/>
      <c r="T10" s="11"/>
      <c r="U10" s="11"/>
      <c r="V10" s="11"/>
      <c r="W10" s="11">
        <v>5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>
        <v>6</v>
      </c>
      <c r="AJ10" s="11"/>
      <c r="AK10" s="11"/>
      <c r="AL10" s="11"/>
      <c r="AM10" s="10">
        <v>5</v>
      </c>
      <c r="AN10" s="10">
        <v>6</v>
      </c>
      <c r="AO10" s="11">
        <v>5.6163889155199991</v>
      </c>
      <c r="AP10" s="11">
        <v>5.9525185593360392</v>
      </c>
      <c r="AQ10" s="11">
        <v>6.3087648900751816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59719.64197449739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71663.570369396868</v>
      </c>
      <c r="BM10" s="10">
        <v>0</v>
      </c>
      <c r="BN10" s="10">
        <v>0</v>
      </c>
      <c r="BO10" s="10">
        <v>0</v>
      </c>
      <c r="BP10" s="12">
        <v>59719.64197449739</v>
      </c>
      <c r="BQ10" s="12">
        <v>71663.570369396868</v>
      </c>
      <c r="BR10" s="12">
        <v>67081.747044877993</v>
      </c>
      <c r="BS10" s="12">
        <v>71096.455442019855</v>
      </c>
      <c r="BT10" s="12">
        <v>75351.436107313857</v>
      </c>
      <c r="BU10" s="12">
        <f t="shared" si="1"/>
        <v>344912.85093810596</v>
      </c>
    </row>
    <row r="11" spans="1:74" x14ac:dyDescent="0.25">
      <c r="A11" s="6" t="s">
        <v>34</v>
      </c>
      <c r="B11" s="6" t="s">
        <v>18</v>
      </c>
      <c r="C11" s="18" t="s">
        <v>240</v>
      </c>
      <c r="D11" s="7" t="s">
        <v>241</v>
      </c>
      <c r="E11" s="7" t="s">
        <v>21</v>
      </c>
      <c r="F11" s="7" t="s">
        <v>242</v>
      </c>
      <c r="G11" s="7" t="s">
        <v>23</v>
      </c>
      <c r="H11" s="7" t="s">
        <v>251</v>
      </c>
      <c r="I11" s="6" t="s">
        <v>252</v>
      </c>
      <c r="J11" s="7" t="s">
        <v>244</v>
      </c>
      <c r="K11" s="6" t="s">
        <v>253</v>
      </c>
      <c r="L11" s="9">
        <v>12067.922794210041</v>
      </c>
      <c r="M11" s="10">
        <v>12430.000000000002</v>
      </c>
      <c r="N11" s="6" t="s">
        <v>253</v>
      </c>
      <c r="O11" s="11">
        <v>0</v>
      </c>
      <c r="P11" s="11"/>
      <c r="Q11" s="11"/>
      <c r="R11" s="11"/>
      <c r="S11" s="11"/>
      <c r="T11" s="11"/>
      <c r="U11" s="11"/>
      <c r="V11" s="11"/>
      <c r="W11" s="11">
        <v>5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>
        <v>6</v>
      </c>
      <c r="AJ11" s="11"/>
      <c r="AK11" s="11"/>
      <c r="AL11" s="11"/>
      <c r="AM11" s="10">
        <v>5</v>
      </c>
      <c r="AN11" s="10">
        <v>6</v>
      </c>
      <c r="AO11" s="11">
        <v>5.6163889155199991</v>
      </c>
      <c r="AP11" s="11">
        <v>5.9525185593360392</v>
      </c>
      <c r="AQ11" s="11">
        <v>6.3087648900751816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59719.64197449739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71663.570369396868</v>
      </c>
      <c r="BM11" s="10">
        <v>0</v>
      </c>
      <c r="BN11" s="10">
        <v>0</v>
      </c>
      <c r="BO11" s="10">
        <v>0</v>
      </c>
      <c r="BP11" s="12">
        <v>59719.64197449739</v>
      </c>
      <c r="BQ11" s="12">
        <v>71663.570369396868</v>
      </c>
      <c r="BR11" s="12">
        <v>67081.747044877993</v>
      </c>
      <c r="BS11" s="12">
        <v>71096.455442019855</v>
      </c>
      <c r="BT11" s="12">
        <v>75351.436107313857</v>
      </c>
      <c r="BU11" s="12">
        <f t="shared" si="1"/>
        <v>344912.85093810596</v>
      </c>
    </row>
    <row r="12" spans="1:74" x14ac:dyDescent="0.25">
      <c r="A12" s="6" t="s">
        <v>17</v>
      </c>
      <c r="B12" s="6" t="s">
        <v>18</v>
      </c>
      <c r="C12" s="18" t="s">
        <v>240</v>
      </c>
      <c r="D12" s="7" t="s">
        <v>241</v>
      </c>
      <c r="E12" s="7" t="s">
        <v>21</v>
      </c>
      <c r="F12" s="7" t="s">
        <v>242</v>
      </c>
      <c r="G12" s="7" t="s">
        <v>23</v>
      </c>
      <c r="H12" s="7" t="s">
        <v>254</v>
      </c>
      <c r="I12" s="6" t="s">
        <v>252</v>
      </c>
      <c r="J12" s="7" t="s">
        <v>244</v>
      </c>
      <c r="K12" s="6" t="s">
        <v>245</v>
      </c>
      <c r="L12" s="9">
        <v>4500</v>
      </c>
      <c r="M12" s="10">
        <v>0</v>
      </c>
      <c r="N12" s="6" t="s">
        <v>255</v>
      </c>
      <c r="O12" s="11">
        <v>0</v>
      </c>
      <c r="P12" s="11"/>
      <c r="Q12" s="11"/>
      <c r="R12" s="11"/>
      <c r="S12" s="11"/>
      <c r="T12" s="11"/>
      <c r="U12" s="11"/>
      <c r="V12" s="11"/>
      <c r="W12" s="11">
        <v>2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>
        <v>2</v>
      </c>
      <c r="AJ12" s="11"/>
      <c r="AK12" s="11"/>
      <c r="AL12" s="11"/>
      <c r="AM12" s="10">
        <v>2</v>
      </c>
      <c r="AN12" s="10">
        <v>2</v>
      </c>
      <c r="AO12" s="11">
        <v>2</v>
      </c>
      <c r="AP12" s="11">
        <v>2.3810074237344159</v>
      </c>
      <c r="AQ12" s="11">
        <v>2.523505956030073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8907.5276157442386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8907.5276157442386</v>
      </c>
      <c r="BM12" s="10">
        <v>0</v>
      </c>
      <c r="BN12" s="10">
        <v>0</v>
      </c>
      <c r="BO12" s="10">
        <v>0</v>
      </c>
      <c r="BP12" s="12">
        <v>8907.5276157442386</v>
      </c>
      <c r="BQ12" s="12">
        <v>8907.5276157442386</v>
      </c>
      <c r="BR12" s="12">
        <v>8907.5276157442386</v>
      </c>
      <c r="BS12" s="12">
        <v>10604.444690103175</v>
      </c>
      <c r="BT12" s="12">
        <v>11239.099495916469</v>
      </c>
      <c r="BU12" s="12">
        <f t="shared" si="1"/>
        <v>48566.127033252356</v>
      </c>
    </row>
    <row r="13" spans="1:74" x14ac:dyDescent="0.25">
      <c r="A13" s="6" t="s">
        <v>28</v>
      </c>
      <c r="B13" s="6" t="s">
        <v>18</v>
      </c>
      <c r="C13" s="18" t="s">
        <v>240</v>
      </c>
      <c r="D13" s="7" t="s">
        <v>241</v>
      </c>
      <c r="E13" s="7" t="s">
        <v>21</v>
      </c>
      <c r="F13" s="7" t="s">
        <v>242</v>
      </c>
      <c r="G13" s="7" t="s">
        <v>23</v>
      </c>
      <c r="H13" s="7" t="s">
        <v>247</v>
      </c>
      <c r="I13" s="6" t="s">
        <v>76</v>
      </c>
      <c r="J13" s="7" t="s">
        <v>244</v>
      </c>
      <c r="K13" s="6" t="s">
        <v>245</v>
      </c>
      <c r="L13" s="9">
        <v>4500</v>
      </c>
      <c r="M13" s="10">
        <v>0</v>
      </c>
      <c r="N13" s="6" t="s">
        <v>255</v>
      </c>
      <c r="O13" s="11">
        <v>0</v>
      </c>
      <c r="P13" s="11"/>
      <c r="Q13" s="11"/>
      <c r="R13" s="11"/>
      <c r="S13" s="11"/>
      <c r="T13" s="11"/>
      <c r="U13" s="11"/>
      <c r="V13" s="11"/>
      <c r="W13" s="11">
        <v>159</v>
      </c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>
        <v>169</v>
      </c>
      <c r="AJ13" s="11"/>
      <c r="AK13" s="11"/>
      <c r="AL13" s="11"/>
      <c r="AM13" s="10">
        <v>159</v>
      </c>
      <c r="AN13" s="10">
        <v>169</v>
      </c>
      <c r="AO13" s="11">
        <v>178.60116751353598</v>
      </c>
      <c r="AP13" s="11">
        <v>189.29009018688606</v>
      </c>
      <c r="AQ13" s="11">
        <v>200.61872350439077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708148.44545166695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752686.08353038807</v>
      </c>
      <c r="BM13" s="10">
        <v>0</v>
      </c>
      <c r="BN13" s="10">
        <v>0</v>
      </c>
      <c r="BO13" s="10">
        <v>0</v>
      </c>
      <c r="BP13" s="12">
        <v>708148.44545166695</v>
      </c>
      <c r="BQ13" s="12">
        <v>752686.08353038807</v>
      </c>
      <c r="BR13" s="12">
        <v>795447.41591549222</v>
      </c>
      <c r="BS13" s="12">
        <v>843053.35286320245</v>
      </c>
      <c r="BT13" s="12">
        <v>893508.40992535918</v>
      </c>
      <c r="BU13" s="12">
        <f t="shared" si="1"/>
        <v>3992843.707686109</v>
      </c>
    </row>
    <row r="14" spans="1:74" x14ac:dyDescent="0.25">
      <c r="A14" s="6" t="s">
        <v>28</v>
      </c>
      <c r="B14" s="6" t="s">
        <v>18</v>
      </c>
      <c r="C14" s="18" t="s">
        <v>240</v>
      </c>
      <c r="D14" s="7" t="s">
        <v>241</v>
      </c>
      <c r="E14" s="7" t="s">
        <v>21</v>
      </c>
      <c r="F14" s="7" t="s">
        <v>242</v>
      </c>
      <c r="G14" s="7" t="s">
        <v>23</v>
      </c>
      <c r="H14" s="7" t="s">
        <v>247</v>
      </c>
      <c r="I14" s="6" t="s">
        <v>252</v>
      </c>
      <c r="J14" s="7" t="s">
        <v>244</v>
      </c>
      <c r="K14" s="6" t="s">
        <v>245</v>
      </c>
      <c r="L14" s="9">
        <v>4500</v>
      </c>
      <c r="M14" s="10">
        <v>0</v>
      </c>
      <c r="N14" s="6" t="s">
        <v>255</v>
      </c>
      <c r="O14" s="11">
        <v>0</v>
      </c>
      <c r="P14" s="11"/>
      <c r="Q14" s="11"/>
      <c r="R14" s="11"/>
      <c r="S14" s="11"/>
      <c r="T14" s="11"/>
      <c r="U14" s="11"/>
      <c r="V14" s="11"/>
      <c r="W14" s="11">
        <v>14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>
        <v>15</v>
      </c>
      <c r="AJ14" s="11"/>
      <c r="AK14" s="11"/>
      <c r="AL14" s="11"/>
      <c r="AM14" s="10">
        <v>14</v>
      </c>
      <c r="AN14" s="10">
        <v>15</v>
      </c>
      <c r="AO14" s="11">
        <v>15.725888963455997</v>
      </c>
      <c r="AP14" s="11">
        <v>16.66705196614091</v>
      </c>
      <c r="AQ14" s="11">
        <v>17.664541692210509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62352.693310209666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66806.457118081787</v>
      </c>
      <c r="BM14" s="10">
        <v>0</v>
      </c>
      <c r="BN14" s="10">
        <v>0</v>
      </c>
      <c r="BO14" s="10">
        <v>0</v>
      </c>
      <c r="BP14" s="12">
        <v>62352.693310209666</v>
      </c>
      <c r="BQ14" s="12">
        <v>66806.457118081787</v>
      </c>
      <c r="BR14" s="12">
        <v>70039.395112055907</v>
      </c>
      <c r="BS14" s="12">
        <v>74231.112830722224</v>
      </c>
      <c r="BT14" s="12">
        <v>78673.696471415285</v>
      </c>
      <c r="BU14" s="12">
        <f t="shared" si="1"/>
        <v>352103.35484248487</v>
      </c>
    </row>
    <row r="15" spans="1:74" x14ac:dyDescent="0.25">
      <c r="A15" s="6" t="s">
        <v>30</v>
      </c>
      <c r="B15" s="6" t="s">
        <v>18</v>
      </c>
      <c r="C15" s="18" t="s">
        <v>240</v>
      </c>
      <c r="D15" s="7" t="s">
        <v>241</v>
      </c>
      <c r="E15" s="7" t="s">
        <v>21</v>
      </c>
      <c r="F15" s="7" t="s">
        <v>242</v>
      </c>
      <c r="G15" s="7" t="s">
        <v>23</v>
      </c>
      <c r="H15" s="7" t="s">
        <v>249</v>
      </c>
      <c r="I15" s="6" t="s">
        <v>76</v>
      </c>
      <c r="J15" s="7" t="s">
        <v>244</v>
      </c>
      <c r="K15" s="6" t="s">
        <v>245</v>
      </c>
      <c r="L15" s="9">
        <v>4500</v>
      </c>
      <c r="M15" s="10">
        <v>0</v>
      </c>
      <c r="N15" s="6" t="s">
        <v>255</v>
      </c>
      <c r="O15" s="11">
        <v>0</v>
      </c>
      <c r="P15" s="11"/>
      <c r="Q15" s="11"/>
      <c r="R15" s="11"/>
      <c r="S15" s="11"/>
      <c r="T15" s="11"/>
      <c r="U15" s="11"/>
      <c r="V15" s="11"/>
      <c r="W15" s="11">
        <v>89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>
        <v>95</v>
      </c>
      <c r="AJ15" s="11"/>
      <c r="AK15" s="11"/>
      <c r="AL15" s="11"/>
      <c r="AM15" s="10">
        <v>89</v>
      </c>
      <c r="AN15" s="10">
        <v>95</v>
      </c>
      <c r="AO15" s="11">
        <v>99.971722696255981</v>
      </c>
      <c r="AP15" s="11">
        <v>105.95483035618149</v>
      </c>
      <c r="AQ15" s="11">
        <v>112.29601504333823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396384.97890061856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423107.56174785132</v>
      </c>
      <c r="BM15" s="10">
        <v>0</v>
      </c>
      <c r="BN15" s="10">
        <v>0</v>
      </c>
      <c r="BO15" s="10">
        <v>0</v>
      </c>
      <c r="BP15" s="12">
        <v>396384.97890061856</v>
      </c>
      <c r="BQ15" s="12">
        <v>423107.56174785132</v>
      </c>
      <c r="BR15" s="12">
        <v>445250.4403552126</v>
      </c>
      <c r="BS15" s="12">
        <v>471897.7887095912</v>
      </c>
      <c r="BT15" s="12">
        <v>500139.92756828282</v>
      </c>
      <c r="BU15" s="12">
        <f t="shared" si="1"/>
        <v>2236780.6972815567</v>
      </c>
    </row>
    <row r="16" spans="1:74" x14ac:dyDescent="0.25">
      <c r="A16" s="6" t="s">
        <v>30</v>
      </c>
      <c r="B16" s="6" t="s">
        <v>18</v>
      </c>
      <c r="C16" s="18" t="s">
        <v>240</v>
      </c>
      <c r="D16" s="7" t="s">
        <v>241</v>
      </c>
      <c r="E16" s="7" t="s">
        <v>21</v>
      </c>
      <c r="F16" s="7" t="s">
        <v>242</v>
      </c>
      <c r="G16" s="7" t="s">
        <v>23</v>
      </c>
      <c r="H16" s="7" t="s">
        <v>249</v>
      </c>
      <c r="I16" s="6" t="s">
        <v>252</v>
      </c>
      <c r="J16" s="7" t="s">
        <v>244</v>
      </c>
      <c r="K16" s="6" t="s">
        <v>245</v>
      </c>
      <c r="L16" s="9">
        <v>4500</v>
      </c>
      <c r="M16" s="10">
        <v>0</v>
      </c>
      <c r="N16" s="6" t="s">
        <v>255</v>
      </c>
      <c r="O16" s="11">
        <v>0</v>
      </c>
      <c r="P16" s="11"/>
      <c r="Q16" s="11"/>
      <c r="R16" s="11"/>
      <c r="S16" s="11"/>
      <c r="T16" s="11"/>
      <c r="U16" s="11"/>
      <c r="V16" s="11"/>
      <c r="W16" s="11">
        <v>6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>
        <v>6</v>
      </c>
      <c r="AJ16" s="11"/>
      <c r="AK16" s="11"/>
      <c r="AL16" s="11"/>
      <c r="AM16" s="10">
        <v>6</v>
      </c>
      <c r="AN16" s="10">
        <v>6</v>
      </c>
      <c r="AO16" s="11">
        <v>6.7396666986239984</v>
      </c>
      <c r="AP16" s="11">
        <v>7.1430222712032467</v>
      </c>
      <c r="AQ16" s="11">
        <v>7.5705178680902172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26722.582847232712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26722.582847232712</v>
      </c>
      <c r="BM16" s="10">
        <v>0</v>
      </c>
      <c r="BN16" s="10">
        <v>0</v>
      </c>
      <c r="BO16" s="10">
        <v>0</v>
      </c>
      <c r="BP16" s="12">
        <v>26722.582847232712</v>
      </c>
      <c r="BQ16" s="12">
        <v>26722.582847232712</v>
      </c>
      <c r="BR16" s="12">
        <v>30016.883619452532</v>
      </c>
      <c r="BS16" s="12">
        <v>31813.334070309524</v>
      </c>
      <c r="BT16" s="12">
        <v>33717.298487749402</v>
      </c>
      <c r="BU16" s="12">
        <f t="shared" si="1"/>
        <v>148992.68187197688</v>
      </c>
    </row>
    <row r="17" spans="1:73" x14ac:dyDescent="0.25">
      <c r="A17" s="6" t="s">
        <v>32</v>
      </c>
      <c r="B17" s="6" t="s">
        <v>18</v>
      </c>
      <c r="C17" s="18" t="s">
        <v>240</v>
      </c>
      <c r="D17" s="7" t="s">
        <v>241</v>
      </c>
      <c r="E17" s="7" t="s">
        <v>21</v>
      </c>
      <c r="F17" s="7" t="s">
        <v>242</v>
      </c>
      <c r="G17" s="7" t="s">
        <v>23</v>
      </c>
      <c r="H17" s="7" t="s">
        <v>250</v>
      </c>
      <c r="I17" s="6" t="s">
        <v>76</v>
      </c>
      <c r="J17" s="7" t="s">
        <v>244</v>
      </c>
      <c r="K17" s="6" t="s">
        <v>245</v>
      </c>
      <c r="L17" s="9">
        <v>4500</v>
      </c>
      <c r="M17" s="10">
        <v>0</v>
      </c>
      <c r="N17" s="6" t="s">
        <v>255</v>
      </c>
      <c r="O17" s="11">
        <v>0</v>
      </c>
      <c r="P17" s="11"/>
      <c r="Q17" s="11"/>
      <c r="R17" s="11"/>
      <c r="S17" s="11"/>
      <c r="T17" s="11"/>
      <c r="U17" s="11"/>
      <c r="V17" s="11"/>
      <c r="W17" s="11">
        <v>75</v>
      </c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>
        <v>79</v>
      </c>
      <c r="AJ17" s="11"/>
      <c r="AK17" s="11"/>
      <c r="AL17" s="11"/>
      <c r="AM17" s="10">
        <v>75</v>
      </c>
      <c r="AN17" s="10">
        <v>79</v>
      </c>
      <c r="AO17" s="11">
        <v>84.24583373279998</v>
      </c>
      <c r="AP17" s="11">
        <v>89.287778390040586</v>
      </c>
      <c r="AQ17" s="11">
        <v>94.631473351127724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334032.28559040889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351847.34082189738</v>
      </c>
      <c r="BM17" s="10">
        <v>0</v>
      </c>
      <c r="BN17" s="10">
        <v>0</v>
      </c>
      <c r="BO17" s="10">
        <v>0</v>
      </c>
      <c r="BP17" s="12">
        <v>334032.28559040889</v>
      </c>
      <c r="BQ17" s="12">
        <v>351847.34082189738</v>
      </c>
      <c r="BR17" s="12">
        <v>375211.04524315661</v>
      </c>
      <c r="BS17" s="12">
        <v>397666.67587886902</v>
      </c>
      <c r="BT17" s="12">
        <v>421466.23109686759</v>
      </c>
      <c r="BU17" s="12">
        <f t="shared" si="1"/>
        <v>1880223.5786311994</v>
      </c>
    </row>
    <row r="18" spans="1:73" x14ac:dyDescent="0.25">
      <c r="A18" s="6" t="s">
        <v>32</v>
      </c>
      <c r="B18" s="6" t="s">
        <v>18</v>
      </c>
      <c r="C18" s="18" t="s">
        <v>240</v>
      </c>
      <c r="D18" s="7" t="s">
        <v>241</v>
      </c>
      <c r="E18" s="7" t="s">
        <v>21</v>
      </c>
      <c r="F18" s="7" t="s">
        <v>242</v>
      </c>
      <c r="G18" s="7" t="s">
        <v>23</v>
      </c>
      <c r="H18" s="7" t="s">
        <v>250</v>
      </c>
      <c r="I18" s="6" t="s">
        <v>252</v>
      </c>
      <c r="J18" s="7" t="s">
        <v>244</v>
      </c>
      <c r="K18" s="6" t="s">
        <v>245</v>
      </c>
      <c r="L18" s="9">
        <v>4500</v>
      </c>
      <c r="M18" s="10">
        <v>0</v>
      </c>
      <c r="N18" s="6" t="s">
        <v>255</v>
      </c>
      <c r="O18" s="11">
        <v>0</v>
      </c>
      <c r="P18" s="11"/>
      <c r="Q18" s="11"/>
      <c r="R18" s="11"/>
      <c r="S18" s="11"/>
      <c r="T18" s="11"/>
      <c r="U18" s="11"/>
      <c r="V18" s="11"/>
      <c r="W18" s="11">
        <v>1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>
        <v>2</v>
      </c>
      <c r="AJ18" s="11"/>
      <c r="AK18" s="11"/>
      <c r="AL18" s="11"/>
      <c r="AM18" s="10">
        <v>1</v>
      </c>
      <c r="AN18" s="10">
        <v>2</v>
      </c>
      <c r="AO18" s="11">
        <v>1</v>
      </c>
      <c r="AP18" s="11">
        <v>1</v>
      </c>
      <c r="AQ18" s="11">
        <v>1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4453.7638078721193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8907.5276157442386</v>
      </c>
      <c r="BM18" s="10">
        <v>0</v>
      </c>
      <c r="BN18" s="10">
        <v>0</v>
      </c>
      <c r="BO18" s="10">
        <v>0</v>
      </c>
      <c r="BP18" s="12">
        <v>4453.7638078721193</v>
      </c>
      <c r="BQ18" s="12">
        <v>8907.5276157442386</v>
      </c>
      <c r="BR18" s="12">
        <v>4453.7638078721193</v>
      </c>
      <c r="BS18" s="12">
        <v>4453.7638078721193</v>
      </c>
      <c r="BT18" s="12">
        <v>4453.7638078721193</v>
      </c>
      <c r="BU18" s="12">
        <f t="shared" si="1"/>
        <v>26722.582847232719</v>
      </c>
    </row>
    <row r="19" spans="1:73" x14ac:dyDescent="0.25">
      <c r="A19" s="6" t="s">
        <v>34</v>
      </c>
      <c r="B19" s="6" t="s">
        <v>18</v>
      </c>
      <c r="C19" s="18" t="s">
        <v>240</v>
      </c>
      <c r="D19" s="7" t="s">
        <v>241</v>
      </c>
      <c r="E19" s="7" t="s">
        <v>21</v>
      </c>
      <c r="F19" s="7" t="s">
        <v>242</v>
      </c>
      <c r="G19" s="7" t="s">
        <v>23</v>
      </c>
      <c r="H19" s="7" t="s">
        <v>251</v>
      </c>
      <c r="I19" s="6" t="s">
        <v>76</v>
      </c>
      <c r="J19" s="7" t="s">
        <v>244</v>
      </c>
      <c r="K19" s="6" t="s">
        <v>245</v>
      </c>
      <c r="L19" s="9">
        <v>4500</v>
      </c>
      <c r="M19" s="10">
        <v>0</v>
      </c>
      <c r="N19" s="6" t="s">
        <v>255</v>
      </c>
      <c r="O19" s="11">
        <v>0</v>
      </c>
      <c r="P19" s="11"/>
      <c r="Q19" s="11"/>
      <c r="R19" s="11"/>
      <c r="S19" s="11"/>
      <c r="T19" s="11"/>
      <c r="U19" s="11"/>
      <c r="V19" s="11"/>
      <c r="W19" s="11">
        <v>125</v>
      </c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>
        <v>132</v>
      </c>
      <c r="AJ19" s="11"/>
      <c r="AK19" s="11"/>
      <c r="AL19" s="11"/>
      <c r="AM19" s="10">
        <v>125</v>
      </c>
      <c r="AN19" s="10">
        <v>132</v>
      </c>
      <c r="AO19" s="11">
        <v>140.409722888</v>
      </c>
      <c r="AP19" s="11">
        <v>148.812963983401</v>
      </c>
      <c r="AQ19" s="11">
        <v>157.71912225187958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556720.47598401492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587896.82263911969</v>
      </c>
      <c r="BM19" s="10">
        <v>0</v>
      </c>
      <c r="BN19" s="10">
        <v>0</v>
      </c>
      <c r="BO19" s="10">
        <v>0</v>
      </c>
      <c r="BP19" s="12">
        <v>556720.47598401492</v>
      </c>
      <c r="BQ19" s="12">
        <v>587896.82263911969</v>
      </c>
      <c r="BR19" s="12">
        <v>625351.74207192787</v>
      </c>
      <c r="BS19" s="12">
        <v>662777.79313144856</v>
      </c>
      <c r="BT19" s="12">
        <v>702443.71849477943</v>
      </c>
      <c r="BU19" s="12">
        <f t="shared" si="1"/>
        <v>3135190.5523212906</v>
      </c>
    </row>
    <row r="20" spans="1:73" x14ac:dyDescent="0.25">
      <c r="A20" s="6" t="s">
        <v>34</v>
      </c>
      <c r="B20" s="6" t="s">
        <v>18</v>
      </c>
      <c r="C20" s="18" t="s">
        <v>240</v>
      </c>
      <c r="D20" s="7" t="s">
        <v>241</v>
      </c>
      <c r="E20" s="7" t="s">
        <v>21</v>
      </c>
      <c r="F20" s="7" t="s">
        <v>242</v>
      </c>
      <c r="G20" s="7" t="s">
        <v>23</v>
      </c>
      <c r="H20" s="7" t="s">
        <v>251</v>
      </c>
      <c r="I20" s="6" t="s">
        <v>252</v>
      </c>
      <c r="J20" s="7" t="s">
        <v>244</v>
      </c>
      <c r="K20" s="6" t="s">
        <v>245</v>
      </c>
      <c r="L20" s="9">
        <v>4500</v>
      </c>
      <c r="M20" s="10">
        <v>0</v>
      </c>
      <c r="N20" s="6" t="s">
        <v>255</v>
      </c>
      <c r="O20" s="11">
        <v>0</v>
      </c>
      <c r="P20" s="11"/>
      <c r="Q20" s="11"/>
      <c r="R20" s="11"/>
      <c r="S20" s="11"/>
      <c r="T20" s="11"/>
      <c r="U20" s="11"/>
      <c r="V20" s="11"/>
      <c r="W20" s="11">
        <v>13</v>
      </c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>
        <v>14</v>
      </c>
      <c r="AJ20" s="11"/>
      <c r="AK20" s="11"/>
      <c r="AL20" s="11"/>
      <c r="AM20" s="10">
        <v>13</v>
      </c>
      <c r="AN20" s="10">
        <v>14</v>
      </c>
      <c r="AO20" s="11">
        <v>14.602611180351998</v>
      </c>
      <c r="AP20" s="11">
        <v>15.476548254273702</v>
      </c>
      <c r="AQ20" s="11">
        <v>16.402788714195474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57898.929502337545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62352.693310209666</v>
      </c>
      <c r="BM20" s="10">
        <v>0</v>
      </c>
      <c r="BN20" s="10">
        <v>0</v>
      </c>
      <c r="BO20" s="10">
        <v>0</v>
      </c>
      <c r="BP20" s="12">
        <v>57898.929502337545</v>
      </c>
      <c r="BQ20" s="12">
        <v>62352.693310209666</v>
      </c>
      <c r="BR20" s="12">
        <v>65036.581175480496</v>
      </c>
      <c r="BS20" s="12">
        <v>68928.890485670636</v>
      </c>
      <c r="BT20" s="12">
        <v>73054.146723457045</v>
      </c>
      <c r="BU20" s="12">
        <f t="shared" si="1"/>
        <v>327271.24119715538</v>
      </c>
    </row>
    <row r="21" spans="1:73" x14ac:dyDescent="0.25">
      <c r="A21" s="6" t="s">
        <v>38</v>
      </c>
      <c r="B21" s="6" t="s">
        <v>18</v>
      </c>
      <c r="C21" s="18" t="s">
        <v>240</v>
      </c>
      <c r="D21" s="7" t="s">
        <v>241</v>
      </c>
      <c r="E21" s="7" t="s">
        <v>21</v>
      </c>
      <c r="F21" s="7" t="s">
        <v>242</v>
      </c>
      <c r="G21" s="7" t="s">
        <v>23</v>
      </c>
      <c r="H21" s="7" t="s">
        <v>243</v>
      </c>
      <c r="I21" s="6" t="s">
        <v>252</v>
      </c>
      <c r="J21" s="7" t="s">
        <v>244</v>
      </c>
      <c r="K21" s="6" t="s">
        <v>245</v>
      </c>
      <c r="L21" s="9">
        <v>4500</v>
      </c>
      <c r="M21" s="10">
        <v>0</v>
      </c>
      <c r="N21" s="6" t="s">
        <v>255</v>
      </c>
      <c r="O21" s="11">
        <v>0</v>
      </c>
      <c r="P21" s="11"/>
      <c r="Q21" s="11"/>
      <c r="R21" s="11"/>
      <c r="S21" s="11"/>
      <c r="T21" s="11"/>
      <c r="U21" s="11"/>
      <c r="V21" s="11"/>
      <c r="W21" s="11">
        <v>8</v>
      </c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>
        <v>9</v>
      </c>
      <c r="AJ21" s="11"/>
      <c r="AK21" s="11"/>
      <c r="AL21" s="11"/>
      <c r="AM21" s="10">
        <v>8</v>
      </c>
      <c r="AN21" s="10">
        <v>9</v>
      </c>
      <c r="AO21" s="11">
        <v>9</v>
      </c>
      <c r="AP21" s="11">
        <v>10</v>
      </c>
      <c r="AQ21" s="11">
        <v>10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35630.110462976954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40083.874270849068</v>
      </c>
      <c r="BM21" s="10">
        <v>0</v>
      </c>
      <c r="BN21" s="10">
        <v>0</v>
      </c>
      <c r="BO21" s="10">
        <v>0</v>
      </c>
      <c r="BP21" s="12">
        <v>35630.110462976954</v>
      </c>
      <c r="BQ21" s="12">
        <v>40083.874270849068</v>
      </c>
      <c r="BR21" s="12">
        <v>40083.874270849068</v>
      </c>
      <c r="BS21" s="12">
        <v>44537.638078721189</v>
      </c>
      <c r="BT21" s="12">
        <v>44537.638078721189</v>
      </c>
      <c r="BU21" s="12">
        <f t="shared" si="1"/>
        <v>204873.13516211745</v>
      </c>
    </row>
    <row r="22" spans="1:73" x14ac:dyDescent="0.25">
      <c r="A22" s="6" t="s">
        <v>40</v>
      </c>
      <c r="B22" s="6" t="s">
        <v>18</v>
      </c>
      <c r="C22" s="18" t="s">
        <v>240</v>
      </c>
      <c r="D22" s="7" t="s">
        <v>241</v>
      </c>
      <c r="E22" s="7" t="s">
        <v>21</v>
      </c>
      <c r="F22" s="7" t="s">
        <v>242</v>
      </c>
      <c r="G22" s="7" t="s">
        <v>23</v>
      </c>
      <c r="H22" s="7" t="s">
        <v>256</v>
      </c>
      <c r="I22" s="6" t="s">
        <v>252</v>
      </c>
      <c r="J22" s="7" t="s">
        <v>244</v>
      </c>
      <c r="K22" s="6" t="s">
        <v>245</v>
      </c>
      <c r="L22" s="9">
        <v>4500</v>
      </c>
      <c r="M22" s="10">
        <v>0</v>
      </c>
      <c r="N22" s="6" t="s">
        <v>255</v>
      </c>
      <c r="O22" s="11">
        <v>0</v>
      </c>
      <c r="P22" s="11"/>
      <c r="Q22" s="11"/>
      <c r="R22" s="11"/>
      <c r="S22" s="11"/>
      <c r="T22" s="11"/>
      <c r="U22" s="11"/>
      <c r="V22" s="11"/>
      <c r="W22" s="11">
        <v>16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>
        <v>17</v>
      </c>
      <c r="AJ22" s="11"/>
      <c r="AK22" s="11"/>
      <c r="AL22" s="11"/>
      <c r="AM22" s="10">
        <v>16</v>
      </c>
      <c r="AN22" s="10">
        <v>17</v>
      </c>
      <c r="AO22" s="11">
        <v>17.972444529663999</v>
      </c>
      <c r="AP22" s="11">
        <v>19.048059389875327</v>
      </c>
      <c r="AQ22" s="11">
        <v>20.188047648240584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71260.220925953909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75713.984733826015</v>
      </c>
      <c r="BM22" s="10">
        <v>0</v>
      </c>
      <c r="BN22" s="10">
        <v>0</v>
      </c>
      <c r="BO22" s="10">
        <v>0</v>
      </c>
      <c r="BP22" s="12">
        <v>71260.220925953909</v>
      </c>
      <c r="BQ22" s="12">
        <v>75713.984733826015</v>
      </c>
      <c r="BR22" s="12">
        <v>80045.022985206757</v>
      </c>
      <c r="BS22" s="12">
        <v>84835.557520825401</v>
      </c>
      <c r="BT22" s="12">
        <v>89912.795967331753</v>
      </c>
      <c r="BU22" s="12">
        <f t="shared" si="1"/>
        <v>401767.58213314385</v>
      </c>
    </row>
    <row r="23" spans="1:73" x14ac:dyDescent="0.25">
      <c r="A23" s="6" t="s">
        <v>98</v>
      </c>
      <c r="B23" s="6" t="s">
        <v>18</v>
      </c>
      <c r="C23" s="18" t="s">
        <v>240</v>
      </c>
      <c r="D23" s="7" t="s">
        <v>241</v>
      </c>
      <c r="E23" s="7" t="s">
        <v>21</v>
      </c>
      <c r="F23" s="7" t="s">
        <v>242</v>
      </c>
      <c r="G23" s="7" t="s">
        <v>23</v>
      </c>
      <c r="H23" s="7" t="s">
        <v>257</v>
      </c>
      <c r="I23" s="6" t="s">
        <v>252</v>
      </c>
      <c r="J23" s="7" t="s">
        <v>244</v>
      </c>
      <c r="K23" s="6" t="s">
        <v>245</v>
      </c>
      <c r="L23" s="9">
        <v>4500</v>
      </c>
      <c r="M23" s="10">
        <v>0</v>
      </c>
      <c r="N23" s="6" t="s">
        <v>255</v>
      </c>
      <c r="O23" s="11">
        <v>0</v>
      </c>
      <c r="P23" s="11"/>
      <c r="Q23" s="11"/>
      <c r="R23" s="11"/>
      <c r="S23" s="11"/>
      <c r="T23" s="11"/>
      <c r="U23" s="11"/>
      <c r="V23" s="11"/>
      <c r="W23" s="11">
        <v>2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>
        <v>2</v>
      </c>
      <c r="AJ23" s="11"/>
      <c r="AK23" s="11"/>
      <c r="AL23" s="11"/>
      <c r="AM23" s="10">
        <v>2</v>
      </c>
      <c r="AN23" s="10">
        <v>2</v>
      </c>
      <c r="AO23" s="11">
        <v>2</v>
      </c>
      <c r="AP23" s="11">
        <v>2.3810074237344159</v>
      </c>
      <c r="AQ23" s="11">
        <v>2.523505956030073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8907.5276157442386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8907.5276157442386</v>
      </c>
      <c r="BM23" s="10">
        <v>0</v>
      </c>
      <c r="BN23" s="10">
        <v>0</v>
      </c>
      <c r="BO23" s="10">
        <v>0</v>
      </c>
      <c r="BP23" s="12">
        <v>8907.5276157442386</v>
      </c>
      <c r="BQ23" s="12">
        <v>8907.5276157442386</v>
      </c>
      <c r="BR23" s="12">
        <v>8907.5276157442386</v>
      </c>
      <c r="BS23" s="12">
        <v>10604.444690103175</v>
      </c>
      <c r="BT23" s="12">
        <v>11239.099495916469</v>
      </c>
      <c r="BU23" s="12">
        <f t="shared" si="1"/>
        <v>48566.127033252356</v>
      </c>
    </row>
    <row r="24" spans="1:73" x14ac:dyDescent="0.25">
      <c r="A24" s="6" t="s">
        <v>258</v>
      </c>
      <c r="B24" s="6" t="s">
        <v>18</v>
      </c>
      <c r="C24" s="18" t="s">
        <v>240</v>
      </c>
      <c r="D24" s="7" t="s">
        <v>241</v>
      </c>
      <c r="E24" s="7" t="s">
        <v>21</v>
      </c>
      <c r="F24" s="7" t="s">
        <v>242</v>
      </c>
      <c r="G24" s="7" t="s">
        <v>23</v>
      </c>
      <c r="H24" s="7" t="s">
        <v>259</v>
      </c>
      <c r="I24" s="6" t="s">
        <v>252</v>
      </c>
      <c r="J24" s="7" t="s">
        <v>244</v>
      </c>
      <c r="K24" s="6" t="s">
        <v>245</v>
      </c>
      <c r="L24" s="9">
        <v>4500</v>
      </c>
      <c r="M24" s="10">
        <v>0</v>
      </c>
      <c r="N24" s="6" t="s">
        <v>255</v>
      </c>
      <c r="O24" s="11">
        <v>0</v>
      </c>
      <c r="P24" s="11"/>
      <c r="Q24" s="11"/>
      <c r="R24" s="11"/>
      <c r="S24" s="11"/>
      <c r="T24" s="11"/>
      <c r="U24" s="11"/>
      <c r="V24" s="11"/>
      <c r="W24" s="11">
        <v>2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>
        <v>2</v>
      </c>
      <c r="AJ24" s="11"/>
      <c r="AK24" s="11"/>
      <c r="AL24" s="11"/>
      <c r="AM24" s="10">
        <v>2</v>
      </c>
      <c r="AN24" s="10">
        <v>2</v>
      </c>
      <c r="AO24" s="11">
        <v>2</v>
      </c>
      <c r="AP24" s="11">
        <v>2.3810074237344159</v>
      </c>
      <c r="AQ24" s="11">
        <v>2.523505956030073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8907.5276157442386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8907.5276157442386</v>
      </c>
      <c r="BM24" s="10">
        <v>0</v>
      </c>
      <c r="BN24" s="10">
        <v>0</v>
      </c>
      <c r="BO24" s="10">
        <v>0</v>
      </c>
      <c r="BP24" s="12">
        <v>8907.5276157442386</v>
      </c>
      <c r="BQ24" s="12">
        <v>8907.5276157442386</v>
      </c>
      <c r="BR24" s="12">
        <v>8907.5276157442386</v>
      </c>
      <c r="BS24" s="12">
        <v>10604.444690103175</v>
      </c>
      <c r="BT24" s="12">
        <v>11239.099495916469</v>
      </c>
      <c r="BU24" s="12">
        <f t="shared" si="1"/>
        <v>48566.127033252356</v>
      </c>
    </row>
    <row r="25" spans="1:73" x14ac:dyDescent="0.25">
      <c r="A25" s="6" t="s">
        <v>42</v>
      </c>
      <c r="B25" s="6" t="s">
        <v>18</v>
      </c>
      <c r="C25" s="18" t="s">
        <v>240</v>
      </c>
      <c r="D25" s="7" t="s">
        <v>241</v>
      </c>
      <c r="E25" s="7" t="s">
        <v>21</v>
      </c>
      <c r="F25" s="7" t="s">
        <v>242</v>
      </c>
      <c r="G25" s="7" t="s">
        <v>23</v>
      </c>
      <c r="H25" s="7" t="s">
        <v>260</v>
      </c>
      <c r="I25" s="6" t="s">
        <v>252</v>
      </c>
      <c r="J25" s="7" t="s">
        <v>244</v>
      </c>
      <c r="K25" s="6" t="s">
        <v>245</v>
      </c>
      <c r="L25" s="9">
        <v>4500</v>
      </c>
      <c r="M25" s="10">
        <v>0</v>
      </c>
      <c r="N25" s="6" t="s">
        <v>255</v>
      </c>
      <c r="O25" s="11">
        <v>0</v>
      </c>
      <c r="P25" s="11"/>
      <c r="Q25" s="11"/>
      <c r="R25" s="11"/>
      <c r="S25" s="11"/>
      <c r="T25" s="11"/>
      <c r="U25" s="11"/>
      <c r="V25" s="11"/>
      <c r="W25" s="11">
        <v>2</v>
      </c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>
        <v>2</v>
      </c>
      <c r="AJ25" s="11"/>
      <c r="AK25" s="11"/>
      <c r="AL25" s="11"/>
      <c r="AM25" s="10">
        <v>2</v>
      </c>
      <c r="AN25" s="10">
        <v>2</v>
      </c>
      <c r="AO25" s="11">
        <v>2</v>
      </c>
      <c r="AP25" s="11">
        <v>2.3810074237344159</v>
      </c>
      <c r="AQ25" s="11">
        <v>2.523505956030073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8907.5276157442386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8907.5276157442386</v>
      </c>
      <c r="BM25" s="10">
        <v>0</v>
      </c>
      <c r="BN25" s="10">
        <v>0</v>
      </c>
      <c r="BO25" s="10">
        <v>0</v>
      </c>
      <c r="BP25" s="12">
        <v>8907.5276157442386</v>
      </c>
      <c r="BQ25" s="12">
        <v>8907.5276157442386</v>
      </c>
      <c r="BR25" s="12">
        <v>8907.5276157442386</v>
      </c>
      <c r="BS25" s="12">
        <v>10604.444690103175</v>
      </c>
      <c r="BT25" s="12">
        <v>11239.099495916469</v>
      </c>
      <c r="BU25" s="12">
        <f t="shared" si="1"/>
        <v>48566.127033252356</v>
      </c>
    </row>
    <row r="26" spans="1:73" x14ac:dyDescent="0.25">
      <c r="A26" s="6" t="s">
        <v>17</v>
      </c>
      <c r="B26" s="6" t="s">
        <v>18</v>
      </c>
      <c r="C26" s="18" t="s">
        <v>240</v>
      </c>
      <c r="D26" s="7" t="s">
        <v>241</v>
      </c>
      <c r="E26" s="7" t="s">
        <v>21</v>
      </c>
      <c r="F26" s="7" t="s">
        <v>242</v>
      </c>
      <c r="G26" s="7" t="s">
        <v>23</v>
      </c>
      <c r="H26" s="7" t="s">
        <v>254</v>
      </c>
      <c r="I26" s="6" t="s">
        <v>76</v>
      </c>
      <c r="J26" s="7" t="s">
        <v>244</v>
      </c>
      <c r="K26" s="6" t="s">
        <v>245</v>
      </c>
      <c r="L26" s="9">
        <v>2200</v>
      </c>
      <c r="M26" s="10">
        <v>0</v>
      </c>
      <c r="N26" s="6" t="s">
        <v>261</v>
      </c>
      <c r="O26" s="11">
        <v>0</v>
      </c>
      <c r="P26" s="11"/>
      <c r="Q26" s="11"/>
      <c r="R26" s="11"/>
      <c r="S26" s="11"/>
      <c r="T26" s="11"/>
      <c r="U26" s="11"/>
      <c r="V26" s="11"/>
      <c r="W26" s="11">
        <v>1</v>
      </c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>
        <v>1</v>
      </c>
      <c r="AJ26" s="11"/>
      <c r="AK26" s="11"/>
      <c r="AL26" s="11"/>
      <c r="AM26" s="10">
        <v>1</v>
      </c>
      <c r="AN26" s="10">
        <v>1</v>
      </c>
      <c r="AO26" s="11">
        <v>1</v>
      </c>
      <c r="AP26" s="11">
        <v>1</v>
      </c>
      <c r="AQ26" s="11">
        <v>1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2177.395639404147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2177.395639404147</v>
      </c>
      <c r="BM26" s="10">
        <v>0</v>
      </c>
      <c r="BN26" s="10">
        <v>0</v>
      </c>
      <c r="BO26" s="10">
        <v>0</v>
      </c>
      <c r="BP26" s="12">
        <v>2177.395639404147</v>
      </c>
      <c r="BQ26" s="12">
        <v>2177.395639404147</v>
      </c>
      <c r="BR26" s="12">
        <v>2177.395639404147</v>
      </c>
      <c r="BS26" s="12">
        <v>2177.395639404147</v>
      </c>
      <c r="BT26" s="12">
        <v>2177.395639404147</v>
      </c>
      <c r="BU26" s="12">
        <f t="shared" si="1"/>
        <v>10886.978197020735</v>
      </c>
    </row>
    <row r="27" spans="1:73" x14ac:dyDescent="0.25">
      <c r="A27" s="6" t="s">
        <v>28</v>
      </c>
      <c r="B27" s="6" t="s">
        <v>18</v>
      </c>
      <c r="C27" s="18" t="s">
        <v>240</v>
      </c>
      <c r="D27" s="7" t="s">
        <v>241</v>
      </c>
      <c r="E27" s="7" t="s">
        <v>21</v>
      </c>
      <c r="F27" s="7" t="s">
        <v>242</v>
      </c>
      <c r="G27" s="7" t="s">
        <v>23</v>
      </c>
      <c r="H27" s="7" t="s">
        <v>247</v>
      </c>
      <c r="I27" s="6" t="s">
        <v>76</v>
      </c>
      <c r="J27" s="7" t="s">
        <v>244</v>
      </c>
      <c r="K27" s="6" t="s">
        <v>245</v>
      </c>
      <c r="L27" s="9">
        <v>63799.999999999993</v>
      </c>
      <c r="M27" s="10">
        <v>0</v>
      </c>
      <c r="N27" s="6" t="s">
        <v>261</v>
      </c>
      <c r="O27" s="11">
        <v>0</v>
      </c>
      <c r="P27" s="11"/>
      <c r="Q27" s="11"/>
      <c r="R27" s="11"/>
      <c r="S27" s="11"/>
      <c r="T27" s="11"/>
      <c r="U27" s="11"/>
      <c r="V27" s="11"/>
      <c r="W27" s="11">
        <v>1</v>
      </c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>
        <v>1</v>
      </c>
      <c r="AJ27" s="11"/>
      <c r="AK27" s="11"/>
      <c r="AL27" s="11"/>
      <c r="AM27" s="10">
        <v>1</v>
      </c>
      <c r="AN27" s="10">
        <v>1</v>
      </c>
      <c r="AO27" s="11">
        <v>1</v>
      </c>
      <c r="AP27" s="11">
        <v>1</v>
      </c>
      <c r="AQ27" s="11">
        <v>1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63144.473542720254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63144.473542720254</v>
      </c>
      <c r="BM27" s="10">
        <v>0</v>
      </c>
      <c r="BN27" s="10">
        <v>0</v>
      </c>
      <c r="BO27" s="10">
        <v>0</v>
      </c>
      <c r="BP27" s="12">
        <v>63144.473542720254</v>
      </c>
      <c r="BQ27" s="12">
        <v>63144.473542720254</v>
      </c>
      <c r="BR27" s="12">
        <v>63144.473542720254</v>
      </c>
      <c r="BS27" s="12">
        <v>63144.473542720254</v>
      </c>
      <c r="BT27" s="12">
        <v>63144.473542720254</v>
      </c>
      <c r="BU27" s="12">
        <f t="shared" si="1"/>
        <v>315722.36771360127</v>
      </c>
    </row>
    <row r="28" spans="1:73" x14ac:dyDescent="0.25">
      <c r="A28" s="6" t="s">
        <v>30</v>
      </c>
      <c r="B28" s="6" t="s">
        <v>18</v>
      </c>
      <c r="C28" s="18" t="s">
        <v>240</v>
      </c>
      <c r="D28" s="7" t="s">
        <v>241</v>
      </c>
      <c r="E28" s="7" t="s">
        <v>21</v>
      </c>
      <c r="F28" s="7" t="s">
        <v>242</v>
      </c>
      <c r="G28" s="7" t="s">
        <v>23</v>
      </c>
      <c r="H28" s="7" t="s">
        <v>249</v>
      </c>
      <c r="I28" s="6" t="s">
        <v>76</v>
      </c>
      <c r="J28" s="7" t="s">
        <v>244</v>
      </c>
      <c r="K28" s="6" t="s">
        <v>245</v>
      </c>
      <c r="L28" s="9">
        <v>28600</v>
      </c>
      <c r="M28" s="10">
        <v>0</v>
      </c>
      <c r="N28" s="6" t="s">
        <v>261</v>
      </c>
      <c r="O28" s="11">
        <v>0</v>
      </c>
      <c r="P28" s="11"/>
      <c r="Q28" s="11"/>
      <c r="R28" s="11"/>
      <c r="S28" s="11"/>
      <c r="T28" s="11"/>
      <c r="U28" s="11"/>
      <c r="V28" s="11"/>
      <c r="W28" s="11">
        <v>1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>
        <v>1</v>
      </c>
      <c r="AJ28" s="11"/>
      <c r="AK28" s="11"/>
      <c r="AL28" s="11"/>
      <c r="AM28" s="10">
        <v>1</v>
      </c>
      <c r="AN28" s="10">
        <v>1</v>
      </c>
      <c r="AO28" s="11">
        <v>1</v>
      </c>
      <c r="AP28" s="11">
        <v>1</v>
      </c>
      <c r="AQ28" s="11">
        <v>1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28306.143312253913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28306.143312253913</v>
      </c>
      <c r="BM28" s="10">
        <v>0</v>
      </c>
      <c r="BN28" s="10">
        <v>0</v>
      </c>
      <c r="BO28" s="10">
        <v>0</v>
      </c>
      <c r="BP28" s="12">
        <v>28306.143312253913</v>
      </c>
      <c r="BQ28" s="12">
        <v>28306.143312253913</v>
      </c>
      <c r="BR28" s="12">
        <v>28306.143312253913</v>
      </c>
      <c r="BS28" s="12">
        <v>28306.143312253913</v>
      </c>
      <c r="BT28" s="12">
        <v>28306.143312253913</v>
      </c>
      <c r="BU28" s="12">
        <f t="shared" si="1"/>
        <v>141530.71656126957</v>
      </c>
    </row>
    <row r="29" spans="1:73" x14ac:dyDescent="0.25">
      <c r="A29" s="6" t="s">
        <v>32</v>
      </c>
      <c r="B29" s="6" t="s">
        <v>18</v>
      </c>
      <c r="C29" s="18" t="s">
        <v>240</v>
      </c>
      <c r="D29" s="7" t="s">
        <v>241</v>
      </c>
      <c r="E29" s="7" t="s">
        <v>21</v>
      </c>
      <c r="F29" s="7" t="s">
        <v>242</v>
      </c>
      <c r="G29" s="7" t="s">
        <v>23</v>
      </c>
      <c r="H29" s="7" t="s">
        <v>250</v>
      </c>
      <c r="I29" s="6" t="s">
        <v>76</v>
      </c>
      <c r="J29" s="7" t="s">
        <v>244</v>
      </c>
      <c r="K29" s="6" t="s">
        <v>245</v>
      </c>
      <c r="L29" s="9">
        <v>6600</v>
      </c>
      <c r="M29" s="10">
        <v>0</v>
      </c>
      <c r="N29" s="6" t="s">
        <v>261</v>
      </c>
      <c r="O29" s="11">
        <v>0</v>
      </c>
      <c r="P29" s="11"/>
      <c r="Q29" s="11"/>
      <c r="R29" s="11"/>
      <c r="S29" s="11"/>
      <c r="T29" s="11"/>
      <c r="U29" s="11"/>
      <c r="V29" s="11"/>
      <c r="W29" s="11">
        <v>1</v>
      </c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>
        <v>1</v>
      </c>
      <c r="AJ29" s="11"/>
      <c r="AK29" s="11"/>
      <c r="AL29" s="11"/>
      <c r="AM29" s="10">
        <v>1</v>
      </c>
      <c r="AN29" s="10">
        <v>1</v>
      </c>
      <c r="AO29" s="11">
        <v>1</v>
      </c>
      <c r="AP29" s="11">
        <v>1</v>
      </c>
      <c r="AQ29" s="11">
        <v>1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6532.186918212441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6532.186918212441</v>
      </c>
      <c r="BM29" s="10">
        <v>0</v>
      </c>
      <c r="BN29" s="10">
        <v>0</v>
      </c>
      <c r="BO29" s="10">
        <v>0</v>
      </c>
      <c r="BP29" s="12">
        <v>6532.186918212441</v>
      </c>
      <c r="BQ29" s="12">
        <v>6532.186918212441</v>
      </c>
      <c r="BR29" s="12">
        <v>6532.186918212441</v>
      </c>
      <c r="BS29" s="12">
        <v>6532.186918212441</v>
      </c>
      <c r="BT29" s="12">
        <v>6532.186918212441</v>
      </c>
      <c r="BU29" s="12">
        <f t="shared" si="1"/>
        <v>32660.934591062207</v>
      </c>
    </row>
    <row r="30" spans="1:73" x14ac:dyDescent="0.25">
      <c r="A30" s="6" t="s">
        <v>34</v>
      </c>
      <c r="B30" s="6" t="s">
        <v>18</v>
      </c>
      <c r="C30" s="18" t="s">
        <v>240</v>
      </c>
      <c r="D30" s="7" t="s">
        <v>241</v>
      </c>
      <c r="E30" s="7" t="s">
        <v>21</v>
      </c>
      <c r="F30" s="7" t="s">
        <v>242</v>
      </c>
      <c r="G30" s="7" t="s">
        <v>23</v>
      </c>
      <c r="H30" s="7" t="s">
        <v>251</v>
      </c>
      <c r="I30" s="6" t="s">
        <v>76</v>
      </c>
      <c r="J30" s="7" t="s">
        <v>244</v>
      </c>
      <c r="K30" s="6" t="s">
        <v>245</v>
      </c>
      <c r="L30" s="9">
        <v>52800</v>
      </c>
      <c r="M30" s="10">
        <v>0</v>
      </c>
      <c r="N30" s="6" t="s">
        <v>261</v>
      </c>
      <c r="O30" s="11">
        <v>0</v>
      </c>
      <c r="P30" s="11"/>
      <c r="Q30" s="11"/>
      <c r="R30" s="11"/>
      <c r="S30" s="11"/>
      <c r="T30" s="11"/>
      <c r="U30" s="11"/>
      <c r="V30" s="11"/>
      <c r="W30" s="11">
        <v>1</v>
      </c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>
        <v>1</v>
      </c>
      <c r="AJ30" s="11"/>
      <c r="AK30" s="11"/>
      <c r="AL30" s="11"/>
      <c r="AM30" s="10">
        <v>1</v>
      </c>
      <c r="AN30" s="10">
        <v>1</v>
      </c>
      <c r="AO30" s="11">
        <v>1</v>
      </c>
      <c r="AP30" s="11">
        <v>1</v>
      </c>
      <c r="AQ30" s="11">
        <v>1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52257.495345699528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52257.495345699528</v>
      </c>
      <c r="BM30" s="10">
        <v>0</v>
      </c>
      <c r="BN30" s="10">
        <v>0</v>
      </c>
      <c r="BO30" s="10">
        <v>0</v>
      </c>
      <c r="BP30" s="12">
        <v>52257.495345699528</v>
      </c>
      <c r="BQ30" s="12">
        <v>52257.495345699528</v>
      </c>
      <c r="BR30" s="12">
        <v>52257.495345699528</v>
      </c>
      <c r="BS30" s="12">
        <v>52257.495345699528</v>
      </c>
      <c r="BT30" s="12">
        <v>52257.495345699528</v>
      </c>
      <c r="BU30" s="12">
        <f t="shared" si="1"/>
        <v>261287.47672849766</v>
      </c>
    </row>
    <row r="31" spans="1:73" x14ac:dyDescent="0.25">
      <c r="A31" s="6" t="s">
        <v>38</v>
      </c>
      <c r="B31" s="6" t="s">
        <v>18</v>
      </c>
      <c r="C31" s="18" t="s">
        <v>240</v>
      </c>
      <c r="D31" s="7" t="s">
        <v>241</v>
      </c>
      <c r="E31" s="7" t="s">
        <v>21</v>
      </c>
      <c r="F31" s="7" t="s">
        <v>242</v>
      </c>
      <c r="G31" s="7" t="s">
        <v>23</v>
      </c>
      <c r="H31" s="7" t="s">
        <v>243</v>
      </c>
      <c r="I31" s="6" t="s">
        <v>76</v>
      </c>
      <c r="J31" s="7" t="s">
        <v>244</v>
      </c>
      <c r="K31" s="6" t="s">
        <v>245</v>
      </c>
      <c r="L31" s="9">
        <v>19800</v>
      </c>
      <c r="M31" s="10">
        <v>0</v>
      </c>
      <c r="N31" s="6" t="s">
        <v>261</v>
      </c>
      <c r="O31" s="11">
        <v>0</v>
      </c>
      <c r="P31" s="11"/>
      <c r="Q31" s="11"/>
      <c r="R31" s="11"/>
      <c r="S31" s="11"/>
      <c r="T31" s="11"/>
      <c r="U31" s="11"/>
      <c r="V31" s="11"/>
      <c r="W31" s="11">
        <v>1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>
        <v>1</v>
      </c>
      <c r="AJ31" s="11"/>
      <c r="AK31" s="11"/>
      <c r="AL31" s="11"/>
      <c r="AM31" s="10">
        <v>1</v>
      </c>
      <c r="AN31" s="10">
        <v>1</v>
      </c>
      <c r="AO31" s="11">
        <v>1</v>
      </c>
      <c r="AP31" s="11">
        <v>1</v>
      </c>
      <c r="AQ31" s="11">
        <v>1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19596.560754637325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19596.560754637325</v>
      </c>
      <c r="BM31" s="10">
        <v>0</v>
      </c>
      <c r="BN31" s="10">
        <v>0</v>
      </c>
      <c r="BO31" s="10">
        <v>0</v>
      </c>
      <c r="BP31" s="12">
        <v>19596.560754637325</v>
      </c>
      <c r="BQ31" s="12">
        <v>19596.560754637325</v>
      </c>
      <c r="BR31" s="12">
        <v>19596.560754637325</v>
      </c>
      <c r="BS31" s="12">
        <v>19596.560754637325</v>
      </c>
      <c r="BT31" s="12">
        <v>19596.560754637325</v>
      </c>
      <c r="BU31" s="12">
        <f t="shared" si="1"/>
        <v>97982.803773186621</v>
      </c>
    </row>
    <row r="32" spans="1:73" x14ac:dyDescent="0.25">
      <c r="A32" s="6" t="s">
        <v>96</v>
      </c>
      <c r="B32" s="6" t="s">
        <v>18</v>
      </c>
      <c r="C32" s="18" t="s">
        <v>240</v>
      </c>
      <c r="D32" s="7" t="s">
        <v>241</v>
      </c>
      <c r="E32" s="7" t="s">
        <v>21</v>
      </c>
      <c r="F32" s="7" t="s">
        <v>242</v>
      </c>
      <c r="G32" s="7" t="s">
        <v>23</v>
      </c>
      <c r="H32" s="7" t="s">
        <v>262</v>
      </c>
      <c r="I32" s="6" t="s">
        <v>76</v>
      </c>
      <c r="J32" s="7" t="s">
        <v>244</v>
      </c>
      <c r="K32" s="6" t="s">
        <v>245</v>
      </c>
      <c r="L32" s="9">
        <v>2200</v>
      </c>
      <c r="M32" s="10">
        <v>0</v>
      </c>
      <c r="N32" s="6" t="s">
        <v>261</v>
      </c>
      <c r="O32" s="11">
        <v>0</v>
      </c>
      <c r="P32" s="11"/>
      <c r="Q32" s="11"/>
      <c r="R32" s="11"/>
      <c r="S32" s="11"/>
      <c r="T32" s="11"/>
      <c r="U32" s="11"/>
      <c r="V32" s="11"/>
      <c r="W32" s="11">
        <v>1</v>
      </c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>
        <v>1</v>
      </c>
      <c r="AJ32" s="11"/>
      <c r="AK32" s="11"/>
      <c r="AL32" s="11"/>
      <c r="AM32" s="10">
        <v>1</v>
      </c>
      <c r="AN32" s="10">
        <v>1</v>
      </c>
      <c r="AO32" s="11">
        <v>1</v>
      </c>
      <c r="AP32" s="11">
        <v>1</v>
      </c>
      <c r="AQ32" s="11">
        <v>1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2177.395639404147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2177.395639404147</v>
      </c>
      <c r="BM32" s="10">
        <v>0</v>
      </c>
      <c r="BN32" s="10">
        <v>0</v>
      </c>
      <c r="BO32" s="10">
        <v>0</v>
      </c>
      <c r="BP32" s="12">
        <v>2177.395639404147</v>
      </c>
      <c r="BQ32" s="12">
        <v>2177.395639404147</v>
      </c>
      <c r="BR32" s="12">
        <v>2177.395639404147</v>
      </c>
      <c r="BS32" s="12">
        <v>2177.395639404147</v>
      </c>
      <c r="BT32" s="12">
        <v>2177.395639404147</v>
      </c>
      <c r="BU32" s="12">
        <f t="shared" si="1"/>
        <v>10886.978197020735</v>
      </c>
    </row>
    <row r="33" spans="1:73" x14ac:dyDescent="0.25">
      <c r="A33" s="6" t="s">
        <v>40</v>
      </c>
      <c r="B33" s="6" t="s">
        <v>18</v>
      </c>
      <c r="C33" s="18" t="s">
        <v>240</v>
      </c>
      <c r="D33" s="7" t="s">
        <v>241</v>
      </c>
      <c r="E33" s="7" t="s">
        <v>21</v>
      </c>
      <c r="F33" s="7" t="s">
        <v>242</v>
      </c>
      <c r="G33" s="7" t="s">
        <v>23</v>
      </c>
      <c r="H33" s="7" t="s">
        <v>256</v>
      </c>
      <c r="I33" s="6" t="s">
        <v>76</v>
      </c>
      <c r="J33" s="7" t="s">
        <v>244</v>
      </c>
      <c r="K33" s="6" t="s">
        <v>245</v>
      </c>
      <c r="L33" s="9">
        <v>35200</v>
      </c>
      <c r="M33" s="10">
        <v>0</v>
      </c>
      <c r="N33" s="6" t="s">
        <v>261</v>
      </c>
      <c r="O33" s="11">
        <v>0</v>
      </c>
      <c r="P33" s="11"/>
      <c r="Q33" s="11"/>
      <c r="R33" s="11"/>
      <c r="S33" s="11"/>
      <c r="T33" s="11"/>
      <c r="U33" s="11"/>
      <c r="V33" s="11"/>
      <c r="W33" s="11">
        <v>1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>
        <v>1</v>
      </c>
      <c r="AJ33" s="11"/>
      <c r="AK33" s="11"/>
      <c r="AL33" s="11"/>
      <c r="AM33" s="10">
        <v>1</v>
      </c>
      <c r="AN33" s="10">
        <v>1</v>
      </c>
      <c r="AO33" s="11">
        <v>1</v>
      </c>
      <c r="AP33" s="11">
        <v>1</v>
      </c>
      <c r="AQ33" s="11">
        <v>1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34838.330230466352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34838.330230466352</v>
      </c>
      <c r="BM33" s="10">
        <v>0</v>
      </c>
      <c r="BN33" s="10">
        <v>0</v>
      </c>
      <c r="BO33" s="10">
        <v>0</v>
      </c>
      <c r="BP33" s="12">
        <v>34838.330230466352</v>
      </c>
      <c r="BQ33" s="12">
        <v>34838.330230466352</v>
      </c>
      <c r="BR33" s="12">
        <v>34838.330230466352</v>
      </c>
      <c r="BS33" s="12">
        <v>34838.330230466352</v>
      </c>
      <c r="BT33" s="12">
        <v>34838.330230466352</v>
      </c>
      <c r="BU33" s="12">
        <f t="shared" si="1"/>
        <v>174191.65115233176</v>
      </c>
    </row>
    <row r="34" spans="1:73" x14ac:dyDescent="0.25">
      <c r="A34" s="6" t="s">
        <v>98</v>
      </c>
      <c r="B34" s="6" t="s">
        <v>18</v>
      </c>
      <c r="C34" s="18" t="s">
        <v>240</v>
      </c>
      <c r="D34" s="7" t="s">
        <v>241</v>
      </c>
      <c r="E34" s="7" t="s">
        <v>21</v>
      </c>
      <c r="F34" s="7" t="s">
        <v>242</v>
      </c>
      <c r="G34" s="7" t="s">
        <v>23</v>
      </c>
      <c r="H34" s="7" t="s">
        <v>257</v>
      </c>
      <c r="I34" s="6" t="s">
        <v>76</v>
      </c>
      <c r="J34" s="7" t="s">
        <v>244</v>
      </c>
      <c r="K34" s="6" t="s">
        <v>245</v>
      </c>
      <c r="L34" s="9">
        <v>2200</v>
      </c>
      <c r="M34" s="10">
        <v>0</v>
      </c>
      <c r="N34" s="6" t="s">
        <v>261</v>
      </c>
      <c r="O34" s="11">
        <v>0</v>
      </c>
      <c r="P34" s="11"/>
      <c r="Q34" s="11"/>
      <c r="R34" s="11"/>
      <c r="S34" s="11"/>
      <c r="T34" s="11"/>
      <c r="U34" s="11"/>
      <c r="V34" s="11"/>
      <c r="W34" s="11">
        <v>1</v>
      </c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>
        <v>1</v>
      </c>
      <c r="AJ34" s="11"/>
      <c r="AK34" s="11"/>
      <c r="AL34" s="11"/>
      <c r="AM34" s="10">
        <v>1</v>
      </c>
      <c r="AN34" s="10">
        <v>1</v>
      </c>
      <c r="AO34" s="11">
        <v>1</v>
      </c>
      <c r="AP34" s="11">
        <v>1</v>
      </c>
      <c r="AQ34" s="11">
        <v>1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2177.395639404147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2177.395639404147</v>
      </c>
      <c r="BM34" s="10">
        <v>0</v>
      </c>
      <c r="BN34" s="10">
        <v>0</v>
      </c>
      <c r="BO34" s="10">
        <v>0</v>
      </c>
      <c r="BP34" s="12">
        <v>2177.395639404147</v>
      </c>
      <c r="BQ34" s="12">
        <v>2177.395639404147</v>
      </c>
      <c r="BR34" s="12">
        <v>2177.395639404147</v>
      </c>
      <c r="BS34" s="12">
        <v>2177.395639404147</v>
      </c>
      <c r="BT34" s="12">
        <v>2177.395639404147</v>
      </c>
      <c r="BU34" s="12">
        <f t="shared" si="1"/>
        <v>10886.978197020735</v>
      </c>
    </row>
    <row r="35" spans="1:73" x14ac:dyDescent="0.25">
      <c r="A35" s="6" t="s">
        <v>258</v>
      </c>
      <c r="B35" s="6" t="s">
        <v>18</v>
      </c>
      <c r="C35" s="18" t="s">
        <v>240</v>
      </c>
      <c r="D35" s="7" t="s">
        <v>241</v>
      </c>
      <c r="E35" s="7" t="s">
        <v>21</v>
      </c>
      <c r="F35" s="7" t="s">
        <v>242</v>
      </c>
      <c r="G35" s="7" t="s">
        <v>23</v>
      </c>
      <c r="H35" s="7" t="s">
        <v>259</v>
      </c>
      <c r="I35" s="6" t="s">
        <v>76</v>
      </c>
      <c r="J35" s="7" t="s">
        <v>244</v>
      </c>
      <c r="K35" s="6" t="s">
        <v>245</v>
      </c>
      <c r="L35" s="9">
        <v>2200</v>
      </c>
      <c r="M35" s="10">
        <v>0</v>
      </c>
      <c r="N35" s="6" t="s">
        <v>261</v>
      </c>
      <c r="O35" s="11">
        <v>0</v>
      </c>
      <c r="P35" s="11"/>
      <c r="Q35" s="11"/>
      <c r="R35" s="11"/>
      <c r="S35" s="11"/>
      <c r="T35" s="11"/>
      <c r="U35" s="11"/>
      <c r="V35" s="11"/>
      <c r="W35" s="11">
        <v>1</v>
      </c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>
        <v>1</v>
      </c>
      <c r="AJ35" s="11"/>
      <c r="AK35" s="11"/>
      <c r="AL35" s="11"/>
      <c r="AM35" s="10">
        <v>1</v>
      </c>
      <c r="AN35" s="10">
        <v>1</v>
      </c>
      <c r="AO35" s="11">
        <v>1</v>
      </c>
      <c r="AP35" s="11">
        <v>1</v>
      </c>
      <c r="AQ35" s="11">
        <v>1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2177.395639404147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2177.395639404147</v>
      </c>
      <c r="BM35" s="10">
        <v>0</v>
      </c>
      <c r="BN35" s="10">
        <v>0</v>
      </c>
      <c r="BO35" s="10">
        <v>0</v>
      </c>
      <c r="BP35" s="12">
        <v>2177.395639404147</v>
      </c>
      <c r="BQ35" s="12">
        <v>2177.395639404147</v>
      </c>
      <c r="BR35" s="12">
        <v>2177.395639404147</v>
      </c>
      <c r="BS35" s="12">
        <v>2177.395639404147</v>
      </c>
      <c r="BT35" s="12">
        <v>2177.395639404147</v>
      </c>
      <c r="BU35" s="12">
        <f t="shared" si="1"/>
        <v>10886.978197020735</v>
      </c>
    </row>
    <row r="36" spans="1:73" x14ac:dyDescent="0.25">
      <c r="A36" s="6" t="s">
        <v>42</v>
      </c>
      <c r="B36" s="6" t="s">
        <v>18</v>
      </c>
      <c r="C36" s="18" t="s">
        <v>240</v>
      </c>
      <c r="D36" s="7" t="s">
        <v>241</v>
      </c>
      <c r="E36" s="7" t="s">
        <v>21</v>
      </c>
      <c r="F36" s="7" t="s">
        <v>242</v>
      </c>
      <c r="G36" s="7" t="s">
        <v>23</v>
      </c>
      <c r="H36" s="7" t="s">
        <v>260</v>
      </c>
      <c r="I36" s="6" t="s">
        <v>76</v>
      </c>
      <c r="J36" s="7" t="s">
        <v>244</v>
      </c>
      <c r="K36" s="6" t="s">
        <v>245</v>
      </c>
      <c r="L36" s="9">
        <v>4400</v>
      </c>
      <c r="M36" s="10">
        <v>0</v>
      </c>
      <c r="N36" s="6" t="s">
        <v>261</v>
      </c>
      <c r="O36" s="11">
        <v>0</v>
      </c>
      <c r="P36" s="11"/>
      <c r="Q36" s="11"/>
      <c r="R36" s="11"/>
      <c r="S36" s="11"/>
      <c r="T36" s="11"/>
      <c r="U36" s="11"/>
      <c r="V36" s="11"/>
      <c r="W36" s="11">
        <v>1</v>
      </c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>
        <v>1</v>
      </c>
      <c r="AJ36" s="11"/>
      <c r="AK36" s="11"/>
      <c r="AL36" s="11"/>
      <c r="AM36" s="10">
        <v>1</v>
      </c>
      <c r="AN36" s="10">
        <v>1</v>
      </c>
      <c r="AO36" s="11">
        <v>1</v>
      </c>
      <c r="AP36" s="11">
        <v>1</v>
      </c>
      <c r="AQ36" s="11">
        <v>1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4354.791278808294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4354.791278808294</v>
      </c>
      <c r="BM36" s="10">
        <v>0</v>
      </c>
      <c r="BN36" s="10">
        <v>0</v>
      </c>
      <c r="BO36" s="10">
        <v>0</v>
      </c>
      <c r="BP36" s="12">
        <v>4354.791278808294</v>
      </c>
      <c r="BQ36" s="12">
        <v>4354.791278808294</v>
      </c>
      <c r="BR36" s="12">
        <v>4354.791278808294</v>
      </c>
      <c r="BS36" s="12">
        <v>4354.791278808294</v>
      </c>
      <c r="BT36" s="12">
        <v>4354.791278808294</v>
      </c>
      <c r="BU36" s="12">
        <f t="shared" si="1"/>
        <v>21773.95639404147</v>
      </c>
    </row>
    <row r="37" spans="1:73" x14ac:dyDescent="0.25">
      <c r="A37" s="6" t="s">
        <v>38</v>
      </c>
      <c r="B37" s="6" t="s">
        <v>18</v>
      </c>
      <c r="C37" s="18" t="s">
        <v>240</v>
      </c>
      <c r="D37" s="7" t="s">
        <v>241</v>
      </c>
      <c r="E37" s="7" t="s">
        <v>21</v>
      </c>
      <c r="F37" s="7" t="s">
        <v>242</v>
      </c>
      <c r="G37" s="7" t="s">
        <v>23</v>
      </c>
      <c r="H37" s="7" t="s">
        <v>243</v>
      </c>
      <c r="I37" s="6" t="s">
        <v>248</v>
      </c>
      <c r="J37" s="7" t="s">
        <v>244</v>
      </c>
      <c r="K37" s="6" t="s">
        <v>263</v>
      </c>
      <c r="L37" s="9">
        <v>6000</v>
      </c>
      <c r="M37" s="10">
        <v>6800</v>
      </c>
      <c r="N37" s="6" t="s">
        <v>264</v>
      </c>
      <c r="O37" s="11">
        <v>0</v>
      </c>
      <c r="P37" s="11"/>
      <c r="Q37" s="11"/>
      <c r="R37" s="11"/>
      <c r="S37" s="11"/>
      <c r="T37" s="11"/>
      <c r="U37" s="11">
        <v>6</v>
      </c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>
        <v>0</v>
      </c>
      <c r="AJ37" s="11"/>
      <c r="AK37" s="11"/>
      <c r="AL37" s="11"/>
      <c r="AM37" s="10">
        <v>6</v>
      </c>
      <c r="AN37" s="10">
        <v>0</v>
      </c>
      <c r="AO37" s="11">
        <v>0</v>
      </c>
      <c r="AP37" s="11">
        <v>0</v>
      </c>
      <c r="AQ37" s="11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35630.110462976954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2">
        <v>35630.110462976954</v>
      </c>
      <c r="BQ37" s="12">
        <v>0</v>
      </c>
      <c r="BR37" s="12">
        <v>0</v>
      </c>
      <c r="BS37" s="12">
        <v>0</v>
      </c>
      <c r="BT37" s="12">
        <v>0</v>
      </c>
      <c r="BU37" s="12">
        <f t="shared" si="1"/>
        <v>35630.110462976954</v>
      </c>
    </row>
    <row r="38" spans="1:73" x14ac:dyDescent="0.25">
      <c r="A38" s="6" t="s">
        <v>17</v>
      </c>
      <c r="B38" s="6" t="s">
        <v>18</v>
      </c>
      <c r="C38" s="18" t="s">
        <v>240</v>
      </c>
      <c r="D38" s="7" t="s">
        <v>241</v>
      </c>
      <c r="E38" s="7" t="s">
        <v>21</v>
      </c>
      <c r="F38" s="7" t="s">
        <v>242</v>
      </c>
      <c r="G38" s="7" t="s">
        <v>23</v>
      </c>
      <c r="H38" s="7" t="s">
        <v>254</v>
      </c>
      <c r="I38" s="6" t="s">
        <v>76</v>
      </c>
      <c r="J38" s="7" t="s">
        <v>244</v>
      </c>
      <c r="K38" s="6" t="s">
        <v>265</v>
      </c>
      <c r="L38" s="9">
        <v>800</v>
      </c>
      <c r="M38" s="10">
        <v>880.00000000000011</v>
      </c>
      <c r="N38" s="6" t="s">
        <v>266</v>
      </c>
      <c r="O38" s="11">
        <v>0</v>
      </c>
      <c r="P38" s="11"/>
      <c r="Q38" s="11"/>
      <c r="R38" s="11"/>
      <c r="S38" s="11"/>
      <c r="T38" s="11"/>
      <c r="U38" s="11"/>
      <c r="V38" s="11"/>
      <c r="W38" s="11">
        <v>6</v>
      </c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>
        <v>6</v>
      </c>
      <c r="AJ38" s="11"/>
      <c r="AK38" s="11"/>
      <c r="AL38" s="11"/>
      <c r="AM38" s="10">
        <v>6</v>
      </c>
      <c r="AN38" s="10">
        <v>6</v>
      </c>
      <c r="AO38" s="11">
        <v>6.7396666986239984</v>
      </c>
      <c r="AP38" s="11">
        <v>7.1430222712032467</v>
      </c>
      <c r="AQ38" s="11">
        <v>7.5705178680902181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4750.6813950635933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4750.6813950635933</v>
      </c>
      <c r="BM38" s="10">
        <v>0</v>
      </c>
      <c r="BN38" s="10">
        <v>0</v>
      </c>
      <c r="BO38" s="10">
        <v>0</v>
      </c>
      <c r="BP38" s="12">
        <v>4750.6813950635933</v>
      </c>
      <c r="BQ38" s="12">
        <v>4750.6813950635933</v>
      </c>
      <c r="BR38" s="12">
        <v>5336.3348656804501</v>
      </c>
      <c r="BS38" s="12">
        <v>5655.7038347216931</v>
      </c>
      <c r="BT38" s="12">
        <v>5994.1863978221163</v>
      </c>
      <c r="BU38" s="12">
        <f t="shared" si="1"/>
        <v>26487.587888351445</v>
      </c>
    </row>
    <row r="39" spans="1:73" x14ac:dyDescent="0.25">
      <c r="A39" s="6" t="s">
        <v>17</v>
      </c>
      <c r="B39" s="6" t="s">
        <v>18</v>
      </c>
      <c r="C39" s="18" t="s">
        <v>240</v>
      </c>
      <c r="D39" s="7" t="s">
        <v>241</v>
      </c>
      <c r="E39" s="7" t="s">
        <v>21</v>
      </c>
      <c r="F39" s="7" t="s">
        <v>242</v>
      </c>
      <c r="G39" s="7" t="s">
        <v>23</v>
      </c>
      <c r="H39" s="7" t="s">
        <v>254</v>
      </c>
      <c r="I39" s="6" t="s">
        <v>252</v>
      </c>
      <c r="J39" s="7" t="s">
        <v>244</v>
      </c>
      <c r="K39" s="6" t="s">
        <v>265</v>
      </c>
      <c r="L39" s="9">
        <v>800</v>
      </c>
      <c r="M39" s="10">
        <v>880.00000000000011</v>
      </c>
      <c r="N39" s="6" t="s">
        <v>266</v>
      </c>
      <c r="O39" s="11">
        <v>0</v>
      </c>
      <c r="P39" s="11"/>
      <c r="Q39" s="11"/>
      <c r="R39" s="11"/>
      <c r="S39" s="11"/>
      <c r="T39" s="11"/>
      <c r="U39" s="11"/>
      <c r="V39" s="11"/>
      <c r="W39" s="11">
        <v>1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>
        <v>1</v>
      </c>
      <c r="AJ39" s="11"/>
      <c r="AK39" s="11"/>
      <c r="AL39" s="11"/>
      <c r="AM39" s="10">
        <v>1</v>
      </c>
      <c r="AN39" s="10">
        <v>1</v>
      </c>
      <c r="AO39" s="11">
        <v>1</v>
      </c>
      <c r="AP39" s="11">
        <v>1</v>
      </c>
      <c r="AQ39" s="11">
        <v>1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791.78023251059892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791.78023251059892</v>
      </c>
      <c r="BM39" s="10">
        <v>0</v>
      </c>
      <c r="BN39" s="10">
        <v>0</v>
      </c>
      <c r="BO39" s="10">
        <v>0</v>
      </c>
      <c r="BP39" s="12">
        <v>791.78023251059892</v>
      </c>
      <c r="BQ39" s="12">
        <v>791.78023251059892</v>
      </c>
      <c r="BR39" s="12">
        <v>791.78023251059892</v>
      </c>
      <c r="BS39" s="12">
        <v>791.78023251059892</v>
      </c>
      <c r="BT39" s="12">
        <v>791.78023251059892</v>
      </c>
      <c r="BU39" s="12">
        <f t="shared" si="1"/>
        <v>3958.9011625529947</v>
      </c>
    </row>
    <row r="40" spans="1:73" x14ac:dyDescent="0.25">
      <c r="A40" s="6" t="s">
        <v>28</v>
      </c>
      <c r="B40" s="6" t="s">
        <v>18</v>
      </c>
      <c r="C40" s="18" t="s">
        <v>240</v>
      </c>
      <c r="D40" s="7" t="s">
        <v>241</v>
      </c>
      <c r="E40" s="7" t="s">
        <v>21</v>
      </c>
      <c r="F40" s="7" t="s">
        <v>242</v>
      </c>
      <c r="G40" s="7" t="s">
        <v>23</v>
      </c>
      <c r="H40" s="7" t="s">
        <v>247</v>
      </c>
      <c r="I40" s="6" t="s">
        <v>76</v>
      </c>
      <c r="J40" s="7" t="s">
        <v>244</v>
      </c>
      <c r="K40" s="6" t="s">
        <v>265</v>
      </c>
      <c r="L40" s="9">
        <v>800</v>
      </c>
      <c r="M40" s="10">
        <v>880.00000000000011</v>
      </c>
      <c r="N40" s="6" t="s">
        <v>266</v>
      </c>
      <c r="O40" s="11">
        <v>0</v>
      </c>
      <c r="P40" s="11"/>
      <c r="Q40" s="11"/>
      <c r="R40" s="11"/>
      <c r="S40" s="11"/>
      <c r="T40" s="11"/>
      <c r="U40" s="11"/>
      <c r="V40" s="11"/>
      <c r="W40" s="11">
        <v>119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>
        <v>126</v>
      </c>
      <c r="AJ40" s="11"/>
      <c r="AK40" s="11"/>
      <c r="AL40" s="11"/>
      <c r="AM40" s="10">
        <v>119</v>
      </c>
      <c r="AN40" s="10">
        <v>126</v>
      </c>
      <c r="AO40" s="11">
        <v>133.67005618937597</v>
      </c>
      <c r="AP40" s="11">
        <v>141.66994171219775</v>
      </c>
      <c r="AQ40" s="11">
        <v>150.14860438378935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94221.847668761271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99764.309296335457</v>
      </c>
      <c r="BM40" s="10">
        <v>0</v>
      </c>
      <c r="BN40" s="10">
        <v>0</v>
      </c>
      <c r="BO40" s="10">
        <v>0</v>
      </c>
      <c r="BP40" s="12">
        <v>94221.847668761271</v>
      </c>
      <c r="BQ40" s="12">
        <v>99764.309296335457</v>
      </c>
      <c r="BR40" s="12">
        <v>105837.30816932893</v>
      </c>
      <c r="BS40" s="12">
        <v>112171.45938864694</v>
      </c>
      <c r="BT40" s="12">
        <v>118884.69689013867</v>
      </c>
      <c r="BU40" s="12">
        <f t="shared" si="1"/>
        <v>530879.62141321134</v>
      </c>
    </row>
    <row r="41" spans="1:73" x14ac:dyDescent="0.25">
      <c r="A41" s="6" t="s">
        <v>28</v>
      </c>
      <c r="B41" s="6" t="s">
        <v>18</v>
      </c>
      <c r="C41" s="18" t="s">
        <v>240</v>
      </c>
      <c r="D41" s="7" t="s">
        <v>241</v>
      </c>
      <c r="E41" s="7" t="s">
        <v>21</v>
      </c>
      <c r="F41" s="7" t="s">
        <v>242</v>
      </c>
      <c r="G41" s="7" t="s">
        <v>23</v>
      </c>
      <c r="H41" s="7" t="s">
        <v>247</v>
      </c>
      <c r="I41" s="6" t="s">
        <v>76</v>
      </c>
      <c r="J41" s="7" t="s">
        <v>244</v>
      </c>
      <c r="K41" s="6" t="s">
        <v>265</v>
      </c>
      <c r="L41" s="9">
        <v>800</v>
      </c>
      <c r="M41" s="10">
        <v>880.00000000000011</v>
      </c>
      <c r="N41" s="6" t="s">
        <v>266</v>
      </c>
      <c r="O41" s="11">
        <v>0</v>
      </c>
      <c r="P41" s="11"/>
      <c r="Q41" s="11"/>
      <c r="R41" s="11"/>
      <c r="S41" s="11"/>
      <c r="T41" s="11"/>
      <c r="U41" s="11"/>
      <c r="V41" s="11"/>
      <c r="W41" s="11">
        <v>90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>
        <v>95</v>
      </c>
      <c r="AJ41" s="11"/>
      <c r="AK41" s="11"/>
      <c r="AL41" s="11"/>
      <c r="AM41" s="10">
        <v>90</v>
      </c>
      <c r="AN41" s="10">
        <v>95</v>
      </c>
      <c r="AO41" s="11">
        <v>101.09500047935998</v>
      </c>
      <c r="AP41" s="11">
        <v>107.14533406804871</v>
      </c>
      <c r="AQ41" s="11">
        <v>113.55776802135328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71260.220925953909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75219.122088506905</v>
      </c>
      <c r="BM41" s="10">
        <v>0</v>
      </c>
      <c r="BN41" s="10">
        <v>0</v>
      </c>
      <c r="BO41" s="10">
        <v>0</v>
      </c>
      <c r="BP41" s="12">
        <v>71260.220925953909</v>
      </c>
      <c r="BQ41" s="12">
        <v>75219.122088506905</v>
      </c>
      <c r="BR41" s="12">
        <v>80045.022985206757</v>
      </c>
      <c r="BS41" s="12">
        <v>84835.557520825401</v>
      </c>
      <c r="BT41" s="12">
        <v>89912.795967331753</v>
      </c>
      <c r="BU41" s="12">
        <f t="shared" si="1"/>
        <v>401272.71948782471</v>
      </c>
    </row>
    <row r="42" spans="1:73" x14ac:dyDescent="0.25">
      <c r="A42" s="6" t="s">
        <v>28</v>
      </c>
      <c r="B42" s="6" t="s">
        <v>18</v>
      </c>
      <c r="C42" s="18" t="s">
        <v>240</v>
      </c>
      <c r="D42" s="7" t="s">
        <v>241</v>
      </c>
      <c r="E42" s="7" t="s">
        <v>21</v>
      </c>
      <c r="F42" s="7" t="s">
        <v>242</v>
      </c>
      <c r="G42" s="7" t="s">
        <v>23</v>
      </c>
      <c r="H42" s="7" t="s">
        <v>247</v>
      </c>
      <c r="I42" s="6" t="s">
        <v>252</v>
      </c>
      <c r="J42" s="7" t="s">
        <v>244</v>
      </c>
      <c r="K42" s="6" t="s">
        <v>265</v>
      </c>
      <c r="L42" s="9">
        <v>800</v>
      </c>
      <c r="M42" s="10">
        <v>880.00000000000011</v>
      </c>
      <c r="N42" s="6" t="s">
        <v>266</v>
      </c>
      <c r="O42" s="11">
        <v>0</v>
      </c>
      <c r="P42" s="11"/>
      <c r="Q42" s="11"/>
      <c r="R42" s="11"/>
      <c r="S42" s="11"/>
      <c r="T42" s="11"/>
      <c r="U42" s="11"/>
      <c r="V42" s="11"/>
      <c r="W42" s="11">
        <v>25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>
        <v>27</v>
      </c>
      <c r="AJ42" s="11"/>
      <c r="AK42" s="11"/>
      <c r="AL42" s="11"/>
      <c r="AM42" s="10">
        <v>25</v>
      </c>
      <c r="AN42" s="10">
        <v>27</v>
      </c>
      <c r="AO42" s="11">
        <v>28.081944577599998</v>
      </c>
      <c r="AP42" s="11">
        <v>29.762592796680202</v>
      </c>
      <c r="AQ42" s="11">
        <v>31.543824450375915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19794.505812764972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21378.066277786173</v>
      </c>
      <c r="BM42" s="10">
        <v>0</v>
      </c>
      <c r="BN42" s="10">
        <v>0</v>
      </c>
      <c r="BO42" s="10">
        <v>0</v>
      </c>
      <c r="BP42" s="12">
        <v>19794.505812764972</v>
      </c>
      <c r="BQ42" s="12">
        <v>21378.066277786173</v>
      </c>
      <c r="BR42" s="12">
        <v>22234.728607001878</v>
      </c>
      <c r="BS42" s="12">
        <v>23565.432644673725</v>
      </c>
      <c r="BT42" s="12">
        <v>24975.776657592156</v>
      </c>
      <c r="BU42" s="12">
        <f t="shared" si="1"/>
        <v>111948.5099998189</v>
      </c>
    </row>
    <row r="43" spans="1:73" x14ac:dyDescent="0.25">
      <c r="A43" s="6" t="s">
        <v>30</v>
      </c>
      <c r="B43" s="6" t="s">
        <v>18</v>
      </c>
      <c r="C43" s="18" t="s">
        <v>240</v>
      </c>
      <c r="D43" s="7" t="s">
        <v>241</v>
      </c>
      <c r="E43" s="7" t="s">
        <v>21</v>
      </c>
      <c r="F43" s="7" t="s">
        <v>242</v>
      </c>
      <c r="G43" s="7" t="s">
        <v>23</v>
      </c>
      <c r="H43" s="7" t="s">
        <v>249</v>
      </c>
      <c r="I43" s="6" t="s">
        <v>76</v>
      </c>
      <c r="J43" s="7" t="s">
        <v>244</v>
      </c>
      <c r="K43" s="6" t="s">
        <v>265</v>
      </c>
      <c r="L43" s="9">
        <v>800</v>
      </c>
      <c r="M43" s="10">
        <v>880.00000000000011</v>
      </c>
      <c r="N43" s="6" t="s">
        <v>266</v>
      </c>
      <c r="O43" s="11">
        <v>0</v>
      </c>
      <c r="P43" s="11"/>
      <c r="Q43" s="11"/>
      <c r="R43" s="11"/>
      <c r="S43" s="11"/>
      <c r="T43" s="11"/>
      <c r="U43" s="11"/>
      <c r="V43" s="11"/>
      <c r="W43" s="11">
        <v>52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>
        <v>55</v>
      </c>
      <c r="AJ43" s="11"/>
      <c r="AK43" s="11"/>
      <c r="AL43" s="11"/>
      <c r="AM43" s="10">
        <v>52</v>
      </c>
      <c r="AN43" s="10">
        <v>55</v>
      </c>
      <c r="AO43" s="11">
        <v>58.410444721407984</v>
      </c>
      <c r="AP43" s="11">
        <v>61.9061930170948</v>
      </c>
      <c r="AQ43" s="11">
        <v>65.61115485678188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41172.572090551141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43547.91278808294</v>
      </c>
      <c r="BM43" s="10">
        <v>0</v>
      </c>
      <c r="BN43" s="10">
        <v>0</v>
      </c>
      <c r="BO43" s="10">
        <v>0</v>
      </c>
      <c r="BP43" s="12">
        <v>41172.572090551141</v>
      </c>
      <c r="BQ43" s="12">
        <v>43547.91278808294</v>
      </c>
      <c r="BR43" s="12">
        <v>46248.235502563897</v>
      </c>
      <c r="BS43" s="12">
        <v>49016.099900921341</v>
      </c>
      <c r="BT43" s="12">
        <v>51949.615447791664</v>
      </c>
      <c r="BU43" s="12">
        <f t="shared" si="1"/>
        <v>231934.435729911</v>
      </c>
    </row>
    <row r="44" spans="1:73" x14ac:dyDescent="0.25">
      <c r="A44" s="6" t="s">
        <v>30</v>
      </c>
      <c r="B44" s="6" t="s">
        <v>18</v>
      </c>
      <c r="C44" s="18" t="s">
        <v>240</v>
      </c>
      <c r="D44" s="7" t="s">
        <v>241</v>
      </c>
      <c r="E44" s="7" t="s">
        <v>21</v>
      </c>
      <c r="F44" s="7" t="s">
        <v>242</v>
      </c>
      <c r="G44" s="7" t="s">
        <v>23</v>
      </c>
      <c r="H44" s="7" t="s">
        <v>249</v>
      </c>
      <c r="I44" s="6" t="s">
        <v>76</v>
      </c>
      <c r="J44" s="7" t="s">
        <v>244</v>
      </c>
      <c r="K44" s="6" t="s">
        <v>265</v>
      </c>
      <c r="L44" s="9">
        <v>800</v>
      </c>
      <c r="M44" s="10">
        <v>880.00000000000011</v>
      </c>
      <c r="N44" s="6" t="s">
        <v>266</v>
      </c>
      <c r="O44" s="11">
        <v>0</v>
      </c>
      <c r="P44" s="11"/>
      <c r="Q44" s="11"/>
      <c r="R44" s="11"/>
      <c r="S44" s="11"/>
      <c r="T44" s="11"/>
      <c r="U44" s="11"/>
      <c r="V44" s="11"/>
      <c r="W44" s="11">
        <v>37</v>
      </c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>
        <v>39</v>
      </c>
      <c r="AJ44" s="11"/>
      <c r="AK44" s="11"/>
      <c r="AL44" s="11"/>
      <c r="AM44" s="10">
        <v>37</v>
      </c>
      <c r="AN44" s="10">
        <v>39</v>
      </c>
      <c r="AO44" s="11">
        <v>41.561277974847989</v>
      </c>
      <c r="AP44" s="11">
        <v>44.048637339086689</v>
      </c>
      <c r="AQ44" s="11">
        <v>46.684860186556342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29295.868602892162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30879.429067913359</v>
      </c>
      <c r="BM44" s="10">
        <v>0</v>
      </c>
      <c r="BN44" s="10">
        <v>0</v>
      </c>
      <c r="BO44" s="10">
        <v>0</v>
      </c>
      <c r="BP44" s="12">
        <v>29295.868602892162</v>
      </c>
      <c r="BQ44" s="12">
        <v>30879.429067913359</v>
      </c>
      <c r="BR44" s="12">
        <v>32907.398338362778</v>
      </c>
      <c r="BS44" s="12">
        <v>34876.840314117107</v>
      </c>
      <c r="BT44" s="12">
        <v>36964.149453236387</v>
      </c>
      <c r="BU44" s="12">
        <f t="shared" si="1"/>
        <v>164923.6857765218</v>
      </c>
    </row>
    <row r="45" spans="1:73" x14ac:dyDescent="0.25">
      <c r="A45" s="6" t="s">
        <v>30</v>
      </c>
      <c r="B45" s="6" t="s">
        <v>18</v>
      </c>
      <c r="C45" s="18" t="s">
        <v>240</v>
      </c>
      <c r="D45" s="7" t="s">
        <v>241</v>
      </c>
      <c r="E45" s="7" t="s">
        <v>21</v>
      </c>
      <c r="F45" s="7" t="s">
        <v>242</v>
      </c>
      <c r="G45" s="7" t="s">
        <v>23</v>
      </c>
      <c r="H45" s="7" t="s">
        <v>249</v>
      </c>
      <c r="I45" s="6" t="s">
        <v>252</v>
      </c>
      <c r="J45" s="7" t="s">
        <v>244</v>
      </c>
      <c r="K45" s="6" t="s">
        <v>265</v>
      </c>
      <c r="L45" s="9">
        <v>800</v>
      </c>
      <c r="M45" s="10">
        <v>880.00000000000011</v>
      </c>
      <c r="N45" s="6" t="s">
        <v>266</v>
      </c>
      <c r="O45" s="11">
        <v>0</v>
      </c>
      <c r="P45" s="11"/>
      <c r="Q45" s="11"/>
      <c r="R45" s="11"/>
      <c r="S45" s="11"/>
      <c r="T45" s="11"/>
      <c r="U45" s="11"/>
      <c r="V45" s="11"/>
      <c r="W45" s="11">
        <v>11</v>
      </c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>
        <v>12</v>
      </c>
      <c r="AJ45" s="11"/>
      <c r="AK45" s="11"/>
      <c r="AL45" s="11"/>
      <c r="AM45" s="10">
        <v>11</v>
      </c>
      <c r="AN45" s="10">
        <v>12</v>
      </c>
      <c r="AO45" s="11">
        <v>12.356055614143997</v>
      </c>
      <c r="AP45" s="11">
        <v>13.095540830539287</v>
      </c>
      <c r="AQ45" s="11">
        <v>13.879282758165401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8709.582557616588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9501.3627901271866</v>
      </c>
      <c r="BM45" s="10">
        <v>0</v>
      </c>
      <c r="BN45" s="10">
        <v>0</v>
      </c>
      <c r="BO45" s="10">
        <v>0</v>
      </c>
      <c r="BP45" s="12">
        <v>8709.582557616588</v>
      </c>
      <c r="BQ45" s="12">
        <v>9501.3627901271866</v>
      </c>
      <c r="BR45" s="12">
        <v>9783.2805870808261</v>
      </c>
      <c r="BS45" s="12">
        <v>10368.790363656439</v>
      </c>
      <c r="BT45" s="12">
        <v>10989.341729340547</v>
      </c>
      <c r="BU45" s="12">
        <f t="shared" si="1"/>
        <v>49352.358027821581</v>
      </c>
    </row>
    <row r="46" spans="1:73" x14ac:dyDescent="0.25">
      <c r="A46" s="6" t="s">
        <v>32</v>
      </c>
      <c r="B46" s="6" t="s">
        <v>18</v>
      </c>
      <c r="C46" s="18" t="s">
        <v>240</v>
      </c>
      <c r="D46" s="7" t="s">
        <v>241</v>
      </c>
      <c r="E46" s="7" t="s">
        <v>21</v>
      </c>
      <c r="F46" s="7" t="s">
        <v>242</v>
      </c>
      <c r="G46" s="7" t="s">
        <v>23</v>
      </c>
      <c r="H46" s="7" t="s">
        <v>250</v>
      </c>
      <c r="I46" s="6" t="s">
        <v>76</v>
      </c>
      <c r="J46" s="7" t="s">
        <v>244</v>
      </c>
      <c r="K46" s="6" t="s">
        <v>265</v>
      </c>
      <c r="L46" s="9">
        <v>800</v>
      </c>
      <c r="M46" s="10">
        <v>880.00000000000011</v>
      </c>
      <c r="N46" s="6" t="s">
        <v>266</v>
      </c>
      <c r="O46" s="11">
        <v>0</v>
      </c>
      <c r="P46" s="11"/>
      <c r="Q46" s="11"/>
      <c r="R46" s="11"/>
      <c r="S46" s="11"/>
      <c r="T46" s="11"/>
      <c r="U46" s="11"/>
      <c r="V46" s="11"/>
      <c r="W46" s="11">
        <v>12</v>
      </c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>
        <v>13</v>
      </c>
      <c r="AJ46" s="11"/>
      <c r="AK46" s="11"/>
      <c r="AL46" s="11"/>
      <c r="AM46" s="10">
        <v>12</v>
      </c>
      <c r="AN46" s="10">
        <v>13</v>
      </c>
      <c r="AO46" s="11">
        <v>13.479333397247997</v>
      </c>
      <c r="AP46" s="11">
        <v>14.286044542406493</v>
      </c>
      <c r="AQ46" s="11">
        <v>15.141035736180436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9501.3627901271866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10293.143022637785</v>
      </c>
      <c r="BM46" s="10">
        <v>0</v>
      </c>
      <c r="BN46" s="10">
        <v>0</v>
      </c>
      <c r="BO46" s="10">
        <v>0</v>
      </c>
      <c r="BP46" s="12">
        <v>9501.3627901271866</v>
      </c>
      <c r="BQ46" s="12">
        <v>10293.143022637785</v>
      </c>
      <c r="BR46" s="12">
        <v>10672.6697313609</v>
      </c>
      <c r="BS46" s="12">
        <v>11311.407669443386</v>
      </c>
      <c r="BT46" s="12">
        <v>11988.372795644233</v>
      </c>
      <c r="BU46" s="12">
        <f t="shared" si="1"/>
        <v>53766.956009213493</v>
      </c>
    </row>
    <row r="47" spans="1:73" x14ac:dyDescent="0.25">
      <c r="A47" s="6" t="s">
        <v>32</v>
      </c>
      <c r="B47" s="6" t="s">
        <v>18</v>
      </c>
      <c r="C47" s="18" t="s">
        <v>240</v>
      </c>
      <c r="D47" s="7" t="s">
        <v>241</v>
      </c>
      <c r="E47" s="7" t="s">
        <v>21</v>
      </c>
      <c r="F47" s="7" t="s">
        <v>242</v>
      </c>
      <c r="G47" s="7" t="s">
        <v>23</v>
      </c>
      <c r="H47" s="7" t="s">
        <v>250</v>
      </c>
      <c r="I47" s="6" t="s">
        <v>76</v>
      </c>
      <c r="J47" s="7" t="s">
        <v>244</v>
      </c>
      <c r="K47" s="6" t="s">
        <v>265</v>
      </c>
      <c r="L47" s="9">
        <v>800</v>
      </c>
      <c r="M47" s="10">
        <v>880.00000000000011</v>
      </c>
      <c r="N47" s="6" t="s">
        <v>266</v>
      </c>
      <c r="O47" s="11">
        <v>0</v>
      </c>
      <c r="P47" s="11"/>
      <c r="Q47" s="11"/>
      <c r="R47" s="11"/>
      <c r="S47" s="11"/>
      <c r="T47" s="11"/>
      <c r="U47" s="11"/>
      <c r="V47" s="11"/>
      <c r="W47" s="11">
        <v>8</v>
      </c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>
        <v>9</v>
      </c>
      <c r="AJ47" s="11"/>
      <c r="AK47" s="11"/>
      <c r="AL47" s="11"/>
      <c r="AM47" s="10">
        <v>8</v>
      </c>
      <c r="AN47" s="10">
        <v>9</v>
      </c>
      <c r="AO47" s="11">
        <v>9</v>
      </c>
      <c r="AP47" s="11">
        <v>10</v>
      </c>
      <c r="AQ47" s="11">
        <v>10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6334.2418600847914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7126.0220925953899</v>
      </c>
      <c r="BM47" s="10">
        <v>0</v>
      </c>
      <c r="BN47" s="10">
        <v>0</v>
      </c>
      <c r="BO47" s="10">
        <v>0</v>
      </c>
      <c r="BP47" s="12">
        <v>6334.2418600847914</v>
      </c>
      <c r="BQ47" s="12">
        <v>7126.0220925953899</v>
      </c>
      <c r="BR47" s="12">
        <v>7126.0220925953899</v>
      </c>
      <c r="BS47" s="12">
        <v>7917.8023251059894</v>
      </c>
      <c r="BT47" s="12">
        <v>7917.8023251059894</v>
      </c>
      <c r="BU47" s="12">
        <f t="shared" si="1"/>
        <v>36421.890695487549</v>
      </c>
    </row>
    <row r="48" spans="1:73" x14ac:dyDescent="0.25">
      <c r="A48" s="6" t="s">
        <v>32</v>
      </c>
      <c r="B48" s="6" t="s">
        <v>18</v>
      </c>
      <c r="C48" s="18" t="s">
        <v>240</v>
      </c>
      <c r="D48" s="7" t="s">
        <v>241</v>
      </c>
      <c r="E48" s="7" t="s">
        <v>21</v>
      </c>
      <c r="F48" s="7" t="s">
        <v>242</v>
      </c>
      <c r="G48" s="7" t="s">
        <v>23</v>
      </c>
      <c r="H48" s="7" t="s">
        <v>250</v>
      </c>
      <c r="I48" s="6" t="s">
        <v>252</v>
      </c>
      <c r="J48" s="7" t="s">
        <v>244</v>
      </c>
      <c r="K48" s="6" t="s">
        <v>265</v>
      </c>
      <c r="L48" s="9">
        <v>800</v>
      </c>
      <c r="M48" s="10">
        <v>880.00000000000011</v>
      </c>
      <c r="N48" s="6" t="s">
        <v>266</v>
      </c>
      <c r="O48" s="11">
        <v>0</v>
      </c>
      <c r="P48" s="11"/>
      <c r="Q48" s="11"/>
      <c r="R48" s="11"/>
      <c r="S48" s="11"/>
      <c r="T48" s="11"/>
      <c r="U48" s="11"/>
      <c r="V48" s="11"/>
      <c r="W48" s="11">
        <v>2</v>
      </c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>
        <v>2</v>
      </c>
      <c r="AJ48" s="11"/>
      <c r="AK48" s="11"/>
      <c r="AL48" s="11"/>
      <c r="AM48" s="10">
        <v>2</v>
      </c>
      <c r="AN48" s="10">
        <v>2</v>
      </c>
      <c r="AO48" s="11">
        <v>2</v>
      </c>
      <c r="AP48" s="11">
        <v>2.3810074237344154</v>
      </c>
      <c r="AQ48" s="11">
        <v>2.5235059560300726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1583.5604650211978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1583.5604650211978</v>
      </c>
      <c r="BM48" s="10">
        <v>0</v>
      </c>
      <c r="BN48" s="10">
        <v>0</v>
      </c>
      <c r="BO48" s="10">
        <v>0</v>
      </c>
      <c r="BP48" s="12">
        <v>1583.5604650211978</v>
      </c>
      <c r="BQ48" s="12">
        <v>1583.5604650211978</v>
      </c>
      <c r="BR48" s="12">
        <v>1583.5604650211978</v>
      </c>
      <c r="BS48" s="12">
        <v>1885.2346115738976</v>
      </c>
      <c r="BT48" s="12">
        <v>1998.0621326073722</v>
      </c>
      <c r="BU48" s="12">
        <f t="shared" si="1"/>
        <v>8633.9781392448622</v>
      </c>
    </row>
    <row r="49" spans="1:73" x14ac:dyDescent="0.25">
      <c r="A49" s="6" t="s">
        <v>34</v>
      </c>
      <c r="B49" s="6" t="s">
        <v>18</v>
      </c>
      <c r="C49" s="18" t="s">
        <v>240</v>
      </c>
      <c r="D49" s="7" t="s">
        <v>241</v>
      </c>
      <c r="E49" s="7" t="s">
        <v>21</v>
      </c>
      <c r="F49" s="7" t="s">
        <v>242</v>
      </c>
      <c r="G49" s="7" t="s">
        <v>23</v>
      </c>
      <c r="H49" s="7" t="s">
        <v>251</v>
      </c>
      <c r="I49" s="6" t="s">
        <v>76</v>
      </c>
      <c r="J49" s="7" t="s">
        <v>244</v>
      </c>
      <c r="K49" s="6" t="s">
        <v>265</v>
      </c>
      <c r="L49" s="9">
        <v>800</v>
      </c>
      <c r="M49" s="10">
        <v>880.00000000000011</v>
      </c>
      <c r="N49" s="6" t="s">
        <v>266</v>
      </c>
      <c r="O49" s="11">
        <v>0</v>
      </c>
      <c r="P49" s="11"/>
      <c r="Q49" s="11"/>
      <c r="R49" s="11"/>
      <c r="S49" s="11"/>
      <c r="T49" s="11"/>
      <c r="U49" s="11"/>
      <c r="V49" s="11"/>
      <c r="W49" s="11">
        <v>109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>
        <v>116</v>
      </c>
      <c r="AJ49" s="11"/>
      <c r="AK49" s="11"/>
      <c r="AL49" s="11"/>
      <c r="AM49" s="10">
        <v>109</v>
      </c>
      <c r="AN49" s="10">
        <v>116</v>
      </c>
      <c r="AO49" s="11">
        <v>122.43727835833599</v>
      </c>
      <c r="AP49" s="11">
        <v>129.76490459352567</v>
      </c>
      <c r="AQ49" s="11">
        <v>137.53107460363898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86304.045343655278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91846.506971229479</v>
      </c>
      <c r="BM49" s="10">
        <v>0</v>
      </c>
      <c r="BN49" s="10">
        <v>0</v>
      </c>
      <c r="BO49" s="10">
        <v>0</v>
      </c>
      <c r="BP49" s="12">
        <v>86304.045343655278</v>
      </c>
      <c r="BQ49" s="12">
        <v>91846.506971229479</v>
      </c>
      <c r="BR49" s="12">
        <v>96943.416726528187</v>
      </c>
      <c r="BS49" s="12">
        <v>102745.28633077745</v>
      </c>
      <c r="BT49" s="12">
        <v>108894.3862271018</v>
      </c>
      <c r="BU49" s="12">
        <f t="shared" si="1"/>
        <v>486733.64159929217</v>
      </c>
    </row>
    <row r="50" spans="1:73" x14ac:dyDescent="0.25">
      <c r="A50" s="6" t="s">
        <v>34</v>
      </c>
      <c r="B50" s="6" t="s">
        <v>18</v>
      </c>
      <c r="C50" s="18" t="s">
        <v>240</v>
      </c>
      <c r="D50" s="7" t="s">
        <v>241</v>
      </c>
      <c r="E50" s="7" t="s">
        <v>21</v>
      </c>
      <c r="F50" s="7" t="s">
        <v>242</v>
      </c>
      <c r="G50" s="7" t="s">
        <v>23</v>
      </c>
      <c r="H50" s="7" t="s">
        <v>251</v>
      </c>
      <c r="I50" s="6" t="s">
        <v>76</v>
      </c>
      <c r="J50" s="7" t="s">
        <v>244</v>
      </c>
      <c r="K50" s="6" t="s">
        <v>265</v>
      </c>
      <c r="L50" s="9">
        <v>800</v>
      </c>
      <c r="M50" s="10">
        <v>880.00000000000011</v>
      </c>
      <c r="N50" s="6" t="s">
        <v>266</v>
      </c>
      <c r="O50" s="11">
        <v>0</v>
      </c>
      <c r="P50" s="11"/>
      <c r="Q50" s="11"/>
      <c r="R50" s="11"/>
      <c r="S50" s="11"/>
      <c r="T50" s="11"/>
      <c r="U50" s="11"/>
      <c r="V50" s="11"/>
      <c r="W50" s="11">
        <v>75</v>
      </c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>
        <v>80</v>
      </c>
      <c r="AJ50" s="11"/>
      <c r="AK50" s="11"/>
      <c r="AL50" s="11"/>
      <c r="AM50" s="10">
        <v>75</v>
      </c>
      <c r="AN50" s="10">
        <v>80</v>
      </c>
      <c r="AO50" s="11">
        <v>84.24583373279998</v>
      </c>
      <c r="AP50" s="11">
        <v>89.287778390040586</v>
      </c>
      <c r="AQ50" s="11">
        <v>94.631473351127738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59383.517438294919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63342.418600847916</v>
      </c>
      <c r="BM50" s="10">
        <v>0</v>
      </c>
      <c r="BN50" s="10">
        <v>0</v>
      </c>
      <c r="BO50" s="10">
        <v>0</v>
      </c>
      <c r="BP50" s="12">
        <v>59383.517438294919</v>
      </c>
      <c r="BQ50" s="12">
        <v>63342.418600847916</v>
      </c>
      <c r="BR50" s="12">
        <v>66704.185821005623</v>
      </c>
      <c r="BS50" s="12">
        <v>70696.29793402116</v>
      </c>
      <c r="BT50" s="12">
        <v>74927.329972776468</v>
      </c>
      <c r="BU50" s="12">
        <f t="shared" si="1"/>
        <v>335053.74976694607</v>
      </c>
    </row>
    <row r="51" spans="1:73" x14ac:dyDescent="0.25">
      <c r="A51" s="6" t="s">
        <v>34</v>
      </c>
      <c r="B51" s="6" t="s">
        <v>18</v>
      </c>
      <c r="C51" s="18" t="s">
        <v>240</v>
      </c>
      <c r="D51" s="7" t="s">
        <v>241</v>
      </c>
      <c r="E51" s="7" t="s">
        <v>21</v>
      </c>
      <c r="F51" s="7" t="s">
        <v>242</v>
      </c>
      <c r="G51" s="7" t="s">
        <v>23</v>
      </c>
      <c r="H51" s="7" t="s">
        <v>251</v>
      </c>
      <c r="I51" s="6" t="s">
        <v>252</v>
      </c>
      <c r="J51" s="7" t="s">
        <v>244</v>
      </c>
      <c r="K51" s="6" t="s">
        <v>265</v>
      </c>
      <c r="L51" s="9">
        <v>800</v>
      </c>
      <c r="M51" s="10">
        <v>880.00000000000011</v>
      </c>
      <c r="N51" s="6" t="s">
        <v>266</v>
      </c>
      <c r="O51" s="11">
        <v>0</v>
      </c>
      <c r="P51" s="11"/>
      <c r="Q51" s="11"/>
      <c r="R51" s="11"/>
      <c r="S51" s="11"/>
      <c r="T51" s="11"/>
      <c r="U51" s="11"/>
      <c r="V51" s="11"/>
      <c r="W51" s="11">
        <v>23</v>
      </c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>
        <v>24</v>
      </c>
      <c r="AJ51" s="11"/>
      <c r="AK51" s="11"/>
      <c r="AL51" s="11"/>
      <c r="AM51" s="10">
        <v>23</v>
      </c>
      <c r="AN51" s="10">
        <v>24</v>
      </c>
      <c r="AO51" s="11">
        <v>25.835389011392</v>
      </c>
      <c r="AP51" s="11">
        <v>27.381585372945782</v>
      </c>
      <c r="AQ51" s="11">
        <v>29.020318494345837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18210.945347743775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19002.725580254373</v>
      </c>
      <c r="BM51" s="10">
        <v>0</v>
      </c>
      <c r="BN51" s="10">
        <v>0</v>
      </c>
      <c r="BO51" s="10">
        <v>0</v>
      </c>
      <c r="BP51" s="12">
        <v>18210.945347743775</v>
      </c>
      <c r="BQ51" s="12">
        <v>19002.725580254373</v>
      </c>
      <c r="BR51" s="12">
        <v>20455.95031844173</v>
      </c>
      <c r="BS51" s="12">
        <v>21680.198033099827</v>
      </c>
      <c r="BT51" s="12">
        <v>22977.714524984782</v>
      </c>
      <c r="BU51" s="12">
        <f t="shared" si="1"/>
        <v>102327.53380452447</v>
      </c>
    </row>
    <row r="52" spans="1:73" x14ac:dyDescent="0.25">
      <c r="A52" s="6" t="s">
        <v>38</v>
      </c>
      <c r="B52" s="6" t="s">
        <v>18</v>
      </c>
      <c r="C52" s="18" t="s">
        <v>240</v>
      </c>
      <c r="D52" s="7" t="s">
        <v>241</v>
      </c>
      <c r="E52" s="7" t="s">
        <v>21</v>
      </c>
      <c r="F52" s="7" t="s">
        <v>242</v>
      </c>
      <c r="G52" s="7" t="s">
        <v>23</v>
      </c>
      <c r="H52" s="7" t="s">
        <v>243</v>
      </c>
      <c r="I52" s="6" t="s">
        <v>76</v>
      </c>
      <c r="J52" s="7" t="s">
        <v>244</v>
      </c>
      <c r="K52" s="6" t="s">
        <v>265</v>
      </c>
      <c r="L52" s="9">
        <v>800</v>
      </c>
      <c r="M52" s="10">
        <v>880.00000000000011</v>
      </c>
      <c r="N52" s="6" t="s">
        <v>266</v>
      </c>
      <c r="O52" s="11">
        <v>0</v>
      </c>
      <c r="P52" s="11"/>
      <c r="Q52" s="11"/>
      <c r="R52" s="11"/>
      <c r="S52" s="11"/>
      <c r="T52" s="11"/>
      <c r="U52" s="11"/>
      <c r="V52" s="11"/>
      <c r="W52" s="11">
        <v>39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>
        <v>41</v>
      </c>
      <c r="AJ52" s="11"/>
      <c r="AK52" s="11"/>
      <c r="AL52" s="11"/>
      <c r="AM52" s="10">
        <v>39</v>
      </c>
      <c r="AN52" s="10">
        <v>41</v>
      </c>
      <c r="AO52" s="11">
        <v>43.807833541055992</v>
      </c>
      <c r="AP52" s="11">
        <v>46.429644762821098</v>
      </c>
      <c r="AQ52" s="11">
        <v>49.208366142586414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30879.429067913359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32462.989532934556</v>
      </c>
      <c r="BM52" s="10">
        <v>0</v>
      </c>
      <c r="BN52" s="10">
        <v>0</v>
      </c>
      <c r="BO52" s="10">
        <v>0</v>
      </c>
      <c r="BP52" s="12">
        <v>30879.429067913359</v>
      </c>
      <c r="BQ52" s="12">
        <v>32462.989532934556</v>
      </c>
      <c r="BR52" s="12">
        <v>34686.176626922927</v>
      </c>
      <c r="BS52" s="12">
        <v>36762.074925690998</v>
      </c>
      <c r="BT52" s="12">
        <v>38962.211585843754</v>
      </c>
      <c r="BU52" s="12">
        <f t="shared" si="1"/>
        <v>173752.88173930559</v>
      </c>
    </row>
    <row r="53" spans="1:73" x14ac:dyDescent="0.25">
      <c r="A53" s="6" t="s">
        <v>38</v>
      </c>
      <c r="B53" s="6" t="s">
        <v>18</v>
      </c>
      <c r="C53" s="18" t="s">
        <v>240</v>
      </c>
      <c r="D53" s="7" t="s">
        <v>241</v>
      </c>
      <c r="E53" s="7" t="s">
        <v>21</v>
      </c>
      <c r="F53" s="7" t="s">
        <v>242</v>
      </c>
      <c r="G53" s="7" t="s">
        <v>23</v>
      </c>
      <c r="H53" s="7" t="s">
        <v>243</v>
      </c>
      <c r="I53" s="6" t="s">
        <v>76</v>
      </c>
      <c r="J53" s="7" t="s">
        <v>244</v>
      </c>
      <c r="K53" s="6" t="s">
        <v>265</v>
      </c>
      <c r="L53" s="9">
        <v>800</v>
      </c>
      <c r="M53" s="10">
        <v>880.00000000000011</v>
      </c>
      <c r="N53" s="6" t="s">
        <v>266</v>
      </c>
      <c r="O53" s="11">
        <v>0</v>
      </c>
      <c r="P53" s="11"/>
      <c r="Q53" s="11"/>
      <c r="R53" s="11"/>
      <c r="S53" s="11"/>
      <c r="T53" s="11"/>
      <c r="U53" s="11"/>
      <c r="V53" s="11"/>
      <c r="W53" s="11">
        <v>27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>
        <v>29</v>
      </c>
      <c r="AJ53" s="11"/>
      <c r="AK53" s="11"/>
      <c r="AL53" s="11"/>
      <c r="AM53" s="10">
        <v>27</v>
      </c>
      <c r="AN53" s="10">
        <v>29</v>
      </c>
      <c r="AO53" s="11">
        <v>30.328500143807997</v>
      </c>
      <c r="AP53" s="11">
        <v>32.143600220414612</v>
      </c>
      <c r="AQ53" s="11">
        <v>34.067330406405986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21378.066277786173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22961.62674280737</v>
      </c>
      <c r="BM53" s="10">
        <v>0</v>
      </c>
      <c r="BN53" s="10">
        <v>0</v>
      </c>
      <c r="BO53" s="10">
        <v>0</v>
      </c>
      <c r="BP53" s="12">
        <v>21378.066277786173</v>
      </c>
      <c r="BQ53" s="12">
        <v>22961.62674280737</v>
      </c>
      <c r="BR53" s="12">
        <v>24013.50689556203</v>
      </c>
      <c r="BS53" s="12">
        <v>25450.66725624762</v>
      </c>
      <c r="BT53" s="12">
        <v>26973.838790199527</v>
      </c>
      <c r="BU53" s="12">
        <f t="shared" si="1"/>
        <v>120777.70596260272</v>
      </c>
    </row>
    <row r="54" spans="1:73" x14ac:dyDescent="0.25">
      <c r="A54" s="6" t="s">
        <v>38</v>
      </c>
      <c r="B54" s="6" t="s">
        <v>18</v>
      </c>
      <c r="C54" s="18" t="s">
        <v>240</v>
      </c>
      <c r="D54" s="7" t="s">
        <v>241</v>
      </c>
      <c r="E54" s="7" t="s">
        <v>21</v>
      </c>
      <c r="F54" s="7" t="s">
        <v>242</v>
      </c>
      <c r="G54" s="7" t="s">
        <v>23</v>
      </c>
      <c r="H54" s="7" t="s">
        <v>243</v>
      </c>
      <c r="I54" s="6" t="s">
        <v>252</v>
      </c>
      <c r="J54" s="7" t="s">
        <v>244</v>
      </c>
      <c r="K54" s="6" t="s">
        <v>265</v>
      </c>
      <c r="L54" s="9">
        <v>800</v>
      </c>
      <c r="M54" s="10">
        <v>880.00000000000011</v>
      </c>
      <c r="N54" s="6" t="s">
        <v>266</v>
      </c>
      <c r="O54" s="11">
        <v>0</v>
      </c>
      <c r="P54" s="11"/>
      <c r="Q54" s="11"/>
      <c r="R54" s="11"/>
      <c r="S54" s="11"/>
      <c r="T54" s="11"/>
      <c r="U54" s="11"/>
      <c r="V54" s="11"/>
      <c r="W54" s="11">
        <v>8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>
        <v>9</v>
      </c>
      <c r="AJ54" s="11"/>
      <c r="AK54" s="11"/>
      <c r="AL54" s="11"/>
      <c r="AM54" s="10">
        <v>8</v>
      </c>
      <c r="AN54" s="10">
        <v>9</v>
      </c>
      <c r="AO54" s="11">
        <v>9</v>
      </c>
      <c r="AP54" s="11">
        <v>10</v>
      </c>
      <c r="AQ54" s="11">
        <v>10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6334.2418600847914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7126.0220925953899</v>
      </c>
      <c r="BM54" s="10">
        <v>0</v>
      </c>
      <c r="BN54" s="10">
        <v>0</v>
      </c>
      <c r="BO54" s="10">
        <v>0</v>
      </c>
      <c r="BP54" s="12">
        <v>6334.2418600847914</v>
      </c>
      <c r="BQ54" s="12">
        <v>7126.0220925953899</v>
      </c>
      <c r="BR54" s="12">
        <v>7126.0220925953899</v>
      </c>
      <c r="BS54" s="12">
        <v>7917.8023251059894</v>
      </c>
      <c r="BT54" s="12">
        <v>7917.8023251059894</v>
      </c>
      <c r="BU54" s="12">
        <f t="shared" si="1"/>
        <v>36421.890695487549</v>
      </c>
    </row>
    <row r="55" spans="1:73" x14ac:dyDescent="0.25">
      <c r="A55" s="6" t="s">
        <v>96</v>
      </c>
      <c r="B55" s="6" t="s">
        <v>18</v>
      </c>
      <c r="C55" s="18" t="s">
        <v>240</v>
      </c>
      <c r="D55" s="7" t="s">
        <v>241</v>
      </c>
      <c r="E55" s="7" t="s">
        <v>21</v>
      </c>
      <c r="F55" s="7" t="s">
        <v>242</v>
      </c>
      <c r="G55" s="7" t="s">
        <v>23</v>
      </c>
      <c r="H55" s="7" t="s">
        <v>262</v>
      </c>
      <c r="I55" s="6" t="s">
        <v>252</v>
      </c>
      <c r="J55" s="7" t="s">
        <v>244</v>
      </c>
      <c r="K55" s="6" t="s">
        <v>265</v>
      </c>
      <c r="L55" s="9">
        <v>800</v>
      </c>
      <c r="M55" s="10">
        <v>880.00000000000011</v>
      </c>
      <c r="N55" s="6" t="s">
        <v>266</v>
      </c>
      <c r="O55" s="11">
        <v>0</v>
      </c>
      <c r="P55" s="11"/>
      <c r="Q55" s="11"/>
      <c r="R55" s="11"/>
      <c r="S55" s="11"/>
      <c r="T55" s="11"/>
      <c r="U55" s="11"/>
      <c r="V55" s="11"/>
      <c r="W55" s="11">
        <v>14</v>
      </c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>
        <v>15</v>
      </c>
      <c r="AJ55" s="11"/>
      <c r="AK55" s="11"/>
      <c r="AL55" s="11"/>
      <c r="AM55" s="10">
        <v>14</v>
      </c>
      <c r="AN55" s="10">
        <v>15</v>
      </c>
      <c r="AO55" s="11">
        <v>15.725888963455995</v>
      </c>
      <c r="AP55" s="11">
        <v>16.66705196614091</v>
      </c>
      <c r="AQ55" s="11">
        <v>17.664541692210509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11084.923255148386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11876.703487658984</v>
      </c>
      <c r="BM55" s="10">
        <v>0</v>
      </c>
      <c r="BN55" s="10">
        <v>0</v>
      </c>
      <c r="BO55" s="10">
        <v>0</v>
      </c>
      <c r="BP55" s="12">
        <v>11084.923255148386</v>
      </c>
      <c r="BQ55" s="12">
        <v>11876.703487658984</v>
      </c>
      <c r="BR55" s="12">
        <v>12451.44801992105</v>
      </c>
      <c r="BS55" s="12">
        <v>13196.642281017284</v>
      </c>
      <c r="BT55" s="12">
        <v>13986.434928251605</v>
      </c>
      <c r="BU55" s="12">
        <f t="shared" si="1"/>
        <v>62596.151971997315</v>
      </c>
    </row>
    <row r="56" spans="1:73" x14ac:dyDescent="0.25">
      <c r="A56" s="6" t="s">
        <v>96</v>
      </c>
      <c r="B56" s="6" t="s">
        <v>18</v>
      </c>
      <c r="C56" s="18" t="s">
        <v>240</v>
      </c>
      <c r="D56" s="7" t="s">
        <v>241</v>
      </c>
      <c r="E56" s="7" t="s">
        <v>21</v>
      </c>
      <c r="F56" s="7" t="s">
        <v>242</v>
      </c>
      <c r="G56" s="7" t="s">
        <v>23</v>
      </c>
      <c r="H56" s="7" t="s">
        <v>262</v>
      </c>
      <c r="I56" s="6" t="s">
        <v>76</v>
      </c>
      <c r="J56" s="7" t="s">
        <v>244</v>
      </c>
      <c r="K56" s="6" t="s">
        <v>265</v>
      </c>
      <c r="L56" s="9">
        <v>800</v>
      </c>
      <c r="M56" s="10">
        <v>880.00000000000011</v>
      </c>
      <c r="N56" s="6" t="s">
        <v>266</v>
      </c>
      <c r="O56" s="11">
        <v>0</v>
      </c>
      <c r="P56" s="11"/>
      <c r="Q56" s="11"/>
      <c r="R56" s="11"/>
      <c r="S56" s="11"/>
      <c r="T56" s="11"/>
      <c r="U56" s="11"/>
      <c r="V56" s="11"/>
      <c r="W56" s="11">
        <v>68</v>
      </c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>
        <v>72</v>
      </c>
      <c r="AJ56" s="11"/>
      <c r="AK56" s="11"/>
      <c r="AL56" s="11"/>
      <c r="AM56" s="10">
        <v>68</v>
      </c>
      <c r="AN56" s="10">
        <v>72</v>
      </c>
      <c r="AO56" s="11">
        <v>76.382889251071987</v>
      </c>
      <c r="AP56" s="11">
        <v>80.954252406970141</v>
      </c>
      <c r="AQ56" s="11">
        <v>85.799202505022478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53841.055810720725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57008.17674076312</v>
      </c>
      <c r="BM56" s="10">
        <v>0</v>
      </c>
      <c r="BN56" s="10">
        <v>0</v>
      </c>
      <c r="BO56" s="10">
        <v>0</v>
      </c>
      <c r="BP56" s="12">
        <v>53841.055810720725</v>
      </c>
      <c r="BQ56" s="12">
        <v>57008.17674076312</v>
      </c>
      <c r="BR56" s="12">
        <v>60478.461811045105</v>
      </c>
      <c r="BS56" s="12">
        <v>64097.976793512535</v>
      </c>
      <c r="BT56" s="12">
        <v>67934.112508650665</v>
      </c>
      <c r="BU56" s="12">
        <f t="shared" si="1"/>
        <v>303359.78366469214</v>
      </c>
    </row>
    <row r="57" spans="1:73" x14ac:dyDescent="0.25">
      <c r="A57" s="6" t="s">
        <v>96</v>
      </c>
      <c r="B57" s="6" t="s">
        <v>18</v>
      </c>
      <c r="C57" s="18" t="s">
        <v>240</v>
      </c>
      <c r="D57" s="7" t="s">
        <v>241</v>
      </c>
      <c r="E57" s="7" t="s">
        <v>21</v>
      </c>
      <c r="F57" s="7" t="s">
        <v>242</v>
      </c>
      <c r="G57" s="7" t="s">
        <v>23</v>
      </c>
      <c r="H57" s="7" t="s">
        <v>262</v>
      </c>
      <c r="I57" s="6" t="s">
        <v>76</v>
      </c>
      <c r="J57" s="7" t="s">
        <v>244</v>
      </c>
      <c r="K57" s="6" t="s">
        <v>265</v>
      </c>
      <c r="L57" s="9">
        <v>800</v>
      </c>
      <c r="M57" s="10">
        <v>880.00000000000011</v>
      </c>
      <c r="N57" s="6" t="s">
        <v>266</v>
      </c>
      <c r="O57" s="11">
        <v>0</v>
      </c>
      <c r="P57" s="11"/>
      <c r="Q57" s="11"/>
      <c r="R57" s="11"/>
      <c r="S57" s="11"/>
      <c r="T57" s="11"/>
      <c r="U57" s="11"/>
      <c r="V57" s="11"/>
      <c r="W57" s="11">
        <v>3</v>
      </c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>
        <v>3</v>
      </c>
      <c r="AJ57" s="11"/>
      <c r="AK57" s="11"/>
      <c r="AL57" s="11"/>
      <c r="AM57" s="10">
        <v>3</v>
      </c>
      <c r="AN57" s="10">
        <v>3</v>
      </c>
      <c r="AO57" s="11">
        <v>3</v>
      </c>
      <c r="AP57" s="11">
        <v>3.5715111356016234</v>
      </c>
      <c r="AQ57" s="11">
        <v>3.785258934045109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2375.3406975317966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2375.3406975317966</v>
      </c>
      <c r="BM57" s="10">
        <v>0</v>
      </c>
      <c r="BN57" s="10">
        <v>0</v>
      </c>
      <c r="BO57" s="10">
        <v>0</v>
      </c>
      <c r="BP57" s="12">
        <v>2375.3406975317966</v>
      </c>
      <c r="BQ57" s="12">
        <v>2375.3406975317966</v>
      </c>
      <c r="BR57" s="12">
        <v>2375.3406975317966</v>
      </c>
      <c r="BS57" s="12">
        <v>2827.8519173608465</v>
      </c>
      <c r="BT57" s="12">
        <v>2997.0931989110582</v>
      </c>
      <c r="BU57" s="12">
        <f t="shared" si="1"/>
        <v>12950.967208867294</v>
      </c>
    </row>
    <row r="58" spans="1:73" x14ac:dyDescent="0.25">
      <c r="A58" s="6" t="s">
        <v>40</v>
      </c>
      <c r="B58" s="6" t="s">
        <v>18</v>
      </c>
      <c r="C58" s="18" t="s">
        <v>240</v>
      </c>
      <c r="D58" s="7" t="s">
        <v>241</v>
      </c>
      <c r="E58" s="7" t="s">
        <v>21</v>
      </c>
      <c r="F58" s="7" t="s">
        <v>242</v>
      </c>
      <c r="G58" s="7" t="s">
        <v>23</v>
      </c>
      <c r="H58" s="7" t="s">
        <v>256</v>
      </c>
      <c r="I58" s="6" t="s">
        <v>76</v>
      </c>
      <c r="J58" s="7" t="s">
        <v>244</v>
      </c>
      <c r="K58" s="6" t="s">
        <v>265</v>
      </c>
      <c r="L58" s="9">
        <v>800</v>
      </c>
      <c r="M58" s="10">
        <v>880.00000000000011</v>
      </c>
      <c r="N58" s="6" t="s">
        <v>266</v>
      </c>
      <c r="O58" s="11">
        <v>0</v>
      </c>
      <c r="P58" s="11"/>
      <c r="Q58" s="11"/>
      <c r="R58" s="11"/>
      <c r="S58" s="11"/>
      <c r="T58" s="11"/>
      <c r="U58" s="11"/>
      <c r="V58" s="11"/>
      <c r="W58" s="11">
        <v>2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>
        <v>2</v>
      </c>
      <c r="AJ58" s="11"/>
      <c r="AK58" s="11"/>
      <c r="AL58" s="11"/>
      <c r="AM58" s="10">
        <v>2</v>
      </c>
      <c r="AN58" s="10">
        <v>2</v>
      </c>
      <c r="AO58" s="11">
        <v>2</v>
      </c>
      <c r="AP58" s="11">
        <v>2.3810074237344154</v>
      </c>
      <c r="AQ58" s="11">
        <v>2.5235059560300726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1583.5604650211978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1583.5604650211978</v>
      </c>
      <c r="BM58" s="10">
        <v>0</v>
      </c>
      <c r="BN58" s="10">
        <v>0</v>
      </c>
      <c r="BO58" s="10">
        <v>0</v>
      </c>
      <c r="BP58" s="12">
        <v>1583.5604650211978</v>
      </c>
      <c r="BQ58" s="12">
        <v>1583.5604650211978</v>
      </c>
      <c r="BR58" s="12">
        <v>1583.5604650211978</v>
      </c>
      <c r="BS58" s="12">
        <v>1885.2346115738976</v>
      </c>
      <c r="BT58" s="12">
        <v>1998.0621326073722</v>
      </c>
      <c r="BU58" s="12">
        <f t="shared" si="1"/>
        <v>8633.9781392448622</v>
      </c>
    </row>
    <row r="59" spans="1:73" x14ac:dyDescent="0.25">
      <c r="A59" s="6" t="s">
        <v>40</v>
      </c>
      <c r="B59" s="6" t="s">
        <v>18</v>
      </c>
      <c r="C59" s="18" t="s">
        <v>240</v>
      </c>
      <c r="D59" s="7" t="s">
        <v>241</v>
      </c>
      <c r="E59" s="7" t="s">
        <v>21</v>
      </c>
      <c r="F59" s="7" t="s">
        <v>242</v>
      </c>
      <c r="G59" s="7" t="s">
        <v>23</v>
      </c>
      <c r="H59" s="7" t="s">
        <v>256</v>
      </c>
      <c r="I59" s="6" t="s">
        <v>76</v>
      </c>
      <c r="J59" s="7" t="s">
        <v>244</v>
      </c>
      <c r="K59" s="6" t="s">
        <v>265</v>
      </c>
      <c r="L59" s="9">
        <v>800</v>
      </c>
      <c r="M59" s="10">
        <v>880.00000000000011</v>
      </c>
      <c r="N59" s="6" t="s">
        <v>266</v>
      </c>
      <c r="O59" s="11">
        <v>0</v>
      </c>
      <c r="P59" s="11"/>
      <c r="Q59" s="11"/>
      <c r="R59" s="11"/>
      <c r="S59" s="11"/>
      <c r="T59" s="11"/>
      <c r="U59" s="11"/>
      <c r="V59" s="11"/>
      <c r="W59" s="11">
        <v>49</v>
      </c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>
        <v>52</v>
      </c>
      <c r="AJ59" s="11"/>
      <c r="AK59" s="11"/>
      <c r="AL59" s="11"/>
      <c r="AM59" s="10">
        <v>49</v>
      </c>
      <c r="AN59" s="10">
        <v>52</v>
      </c>
      <c r="AO59" s="11">
        <v>55.040611372095988</v>
      </c>
      <c r="AP59" s="11">
        <v>58.334681881493189</v>
      </c>
      <c r="AQ59" s="11">
        <v>61.825895922736791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38797.231393019349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41172.572090551141</v>
      </c>
      <c r="BM59" s="10">
        <v>0</v>
      </c>
      <c r="BN59" s="10">
        <v>0</v>
      </c>
      <c r="BO59" s="10">
        <v>0</v>
      </c>
      <c r="BP59" s="12">
        <v>38797.231393019349</v>
      </c>
      <c r="BQ59" s="12">
        <v>41172.572090551141</v>
      </c>
      <c r="BR59" s="12">
        <v>43580.068069723682</v>
      </c>
      <c r="BS59" s="12">
        <v>46188.247983560497</v>
      </c>
      <c r="BT59" s="12">
        <v>48952.522248880625</v>
      </c>
      <c r="BU59" s="12">
        <f t="shared" si="1"/>
        <v>218690.64178573529</v>
      </c>
    </row>
    <row r="60" spans="1:73" x14ac:dyDescent="0.25">
      <c r="A60" s="6" t="s">
        <v>40</v>
      </c>
      <c r="B60" s="6" t="s">
        <v>18</v>
      </c>
      <c r="C60" s="18" t="s">
        <v>240</v>
      </c>
      <c r="D60" s="7" t="s">
        <v>241</v>
      </c>
      <c r="E60" s="7" t="s">
        <v>21</v>
      </c>
      <c r="F60" s="7" t="s">
        <v>242</v>
      </c>
      <c r="G60" s="7" t="s">
        <v>23</v>
      </c>
      <c r="H60" s="7" t="s">
        <v>256</v>
      </c>
      <c r="I60" s="6" t="s">
        <v>252</v>
      </c>
      <c r="J60" s="7" t="s">
        <v>244</v>
      </c>
      <c r="K60" s="6" t="s">
        <v>265</v>
      </c>
      <c r="L60" s="9">
        <v>800</v>
      </c>
      <c r="M60" s="10">
        <v>880.00000000000011</v>
      </c>
      <c r="N60" s="6" t="s">
        <v>266</v>
      </c>
      <c r="O60" s="11">
        <v>0</v>
      </c>
      <c r="P60" s="11"/>
      <c r="Q60" s="11"/>
      <c r="R60" s="11"/>
      <c r="S60" s="11"/>
      <c r="T60" s="11"/>
      <c r="U60" s="11"/>
      <c r="V60" s="11"/>
      <c r="W60" s="11">
        <v>1</v>
      </c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>
        <v>1</v>
      </c>
      <c r="AJ60" s="11"/>
      <c r="AK60" s="11"/>
      <c r="AL60" s="11"/>
      <c r="AM60" s="10">
        <v>1</v>
      </c>
      <c r="AN60" s="10">
        <v>1</v>
      </c>
      <c r="AO60" s="11">
        <v>1</v>
      </c>
      <c r="AP60" s="11">
        <v>1</v>
      </c>
      <c r="AQ60" s="11">
        <v>1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791.78023251059892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791.78023251059892</v>
      </c>
      <c r="BM60" s="10">
        <v>0</v>
      </c>
      <c r="BN60" s="10">
        <v>0</v>
      </c>
      <c r="BO60" s="10">
        <v>0</v>
      </c>
      <c r="BP60" s="12">
        <v>791.78023251059892</v>
      </c>
      <c r="BQ60" s="12">
        <v>791.78023251059892</v>
      </c>
      <c r="BR60" s="12">
        <v>791.78023251059892</v>
      </c>
      <c r="BS60" s="12">
        <v>791.78023251059892</v>
      </c>
      <c r="BT60" s="12">
        <v>791.78023251059892</v>
      </c>
      <c r="BU60" s="12">
        <f t="shared" si="1"/>
        <v>3958.9011625529947</v>
      </c>
    </row>
    <row r="61" spans="1:73" x14ac:dyDescent="0.25">
      <c r="A61" s="6" t="s">
        <v>98</v>
      </c>
      <c r="B61" s="6" t="s">
        <v>18</v>
      </c>
      <c r="C61" s="18" t="s">
        <v>240</v>
      </c>
      <c r="D61" s="7" t="s">
        <v>241</v>
      </c>
      <c r="E61" s="7" t="s">
        <v>21</v>
      </c>
      <c r="F61" s="7" t="s">
        <v>242</v>
      </c>
      <c r="G61" s="7" t="s">
        <v>23</v>
      </c>
      <c r="H61" s="7" t="s">
        <v>257</v>
      </c>
      <c r="I61" s="6" t="s">
        <v>76</v>
      </c>
      <c r="J61" s="7" t="s">
        <v>244</v>
      </c>
      <c r="K61" s="6" t="s">
        <v>265</v>
      </c>
      <c r="L61" s="9">
        <v>800</v>
      </c>
      <c r="M61" s="10">
        <v>880.00000000000011</v>
      </c>
      <c r="N61" s="6" t="s">
        <v>266</v>
      </c>
      <c r="O61" s="11">
        <v>0</v>
      </c>
      <c r="P61" s="11"/>
      <c r="Q61" s="11"/>
      <c r="R61" s="11"/>
      <c r="S61" s="11"/>
      <c r="T61" s="11"/>
      <c r="U61" s="11"/>
      <c r="V61" s="11"/>
      <c r="W61" s="11">
        <v>7</v>
      </c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>
        <v>7</v>
      </c>
      <c r="AJ61" s="11"/>
      <c r="AK61" s="11"/>
      <c r="AL61" s="11"/>
      <c r="AM61" s="10">
        <v>7</v>
      </c>
      <c r="AN61" s="10">
        <v>7</v>
      </c>
      <c r="AO61" s="11">
        <v>7.8629444817279976</v>
      </c>
      <c r="AP61" s="11">
        <v>8.3335259830704551</v>
      </c>
      <c r="AQ61" s="11">
        <v>8.8322708461052546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5542.4616275741928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5542.4616275741928</v>
      </c>
      <c r="BM61" s="10">
        <v>0</v>
      </c>
      <c r="BN61" s="10">
        <v>0</v>
      </c>
      <c r="BO61" s="10">
        <v>0</v>
      </c>
      <c r="BP61" s="12">
        <v>5542.4616275741928</v>
      </c>
      <c r="BQ61" s="12">
        <v>5542.4616275741928</v>
      </c>
      <c r="BR61" s="12">
        <v>6225.7240099605251</v>
      </c>
      <c r="BS61" s="12">
        <v>6598.3211405086422</v>
      </c>
      <c r="BT61" s="12">
        <v>6993.2174641258025</v>
      </c>
      <c r="BU61" s="12">
        <f t="shared" si="1"/>
        <v>30902.185869743356</v>
      </c>
    </row>
    <row r="62" spans="1:73" x14ac:dyDescent="0.25">
      <c r="A62" s="6" t="s">
        <v>98</v>
      </c>
      <c r="B62" s="6" t="s">
        <v>18</v>
      </c>
      <c r="C62" s="18" t="s">
        <v>240</v>
      </c>
      <c r="D62" s="7" t="s">
        <v>241</v>
      </c>
      <c r="E62" s="7" t="s">
        <v>21</v>
      </c>
      <c r="F62" s="7" t="s">
        <v>242</v>
      </c>
      <c r="G62" s="7" t="s">
        <v>23</v>
      </c>
      <c r="H62" s="7" t="s">
        <v>257</v>
      </c>
      <c r="I62" s="6" t="s">
        <v>76</v>
      </c>
      <c r="J62" s="7" t="s">
        <v>244</v>
      </c>
      <c r="K62" s="6" t="s">
        <v>265</v>
      </c>
      <c r="L62" s="9">
        <v>800</v>
      </c>
      <c r="M62" s="10">
        <v>880.00000000000011</v>
      </c>
      <c r="N62" s="6" t="s">
        <v>266</v>
      </c>
      <c r="O62" s="11">
        <v>0</v>
      </c>
      <c r="P62" s="11"/>
      <c r="Q62" s="11"/>
      <c r="R62" s="11"/>
      <c r="S62" s="11"/>
      <c r="T62" s="11"/>
      <c r="U62" s="11"/>
      <c r="V62" s="11"/>
      <c r="W62" s="11">
        <v>3</v>
      </c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>
        <v>3</v>
      </c>
      <c r="AJ62" s="11"/>
      <c r="AK62" s="11"/>
      <c r="AL62" s="11"/>
      <c r="AM62" s="10">
        <v>3</v>
      </c>
      <c r="AN62" s="10">
        <v>3</v>
      </c>
      <c r="AO62" s="11">
        <v>3</v>
      </c>
      <c r="AP62" s="11">
        <v>3.5715111356016234</v>
      </c>
      <c r="AQ62" s="11">
        <v>3.785258934045109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2375.3406975317966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2375.3406975317966</v>
      </c>
      <c r="BM62" s="10">
        <v>0</v>
      </c>
      <c r="BN62" s="10">
        <v>0</v>
      </c>
      <c r="BO62" s="10">
        <v>0</v>
      </c>
      <c r="BP62" s="12">
        <v>2375.3406975317966</v>
      </c>
      <c r="BQ62" s="12">
        <v>2375.3406975317966</v>
      </c>
      <c r="BR62" s="12">
        <v>2375.3406975317966</v>
      </c>
      <c r="BS62" s="12">
        <v>2827.8519173608465</v>
      </c>
      <c r="BT62" s="12">
        <v>2997.0931989110582</v>
      </c>
      <c r="BU62" s="12">
        <f t="shared" si="1"/>
        <v>12950.967208867294</v>
      </c>
    </row>
    <row r="63" spans="1:73" x14ac:dyDescent="0.25">
      <c r="A63" s="6" t="s">
        <v>98</v>
      </c>
      <c r="B63" s="6" t="s">
        <v>18</v>
      </c>
      <c r="C63" s="18" t="s">
        <v>240</v>
      </c>
      <c r="D63" s="7" t="s">
        <v>241</v>
      </c>
      <c r="E63" s="7" t="s">
        <v>21</v>
      </c>
      <c r="F63" s="7" t="s">
        <v>242</v>
      </c>
      <c r="G63" s="7" t="s">
        <v>23</v>
      </c>
      <c r="H63" s="7" t="s">
        <v>257</v>
      </c>
      <c r="I63" s="6" t="s">
        <v>252</v>
      </c>
      <c r="J63" s="7" t="s">
        <v>244</v>
      </c>
      <c r="K63" s="6" t="s">
        <v>265</v>
      </c>
      <c r="L63" s="9">
        <v>800</v>
      </c>
      <c r="M63" s="10">
        <v>880.00000000000011</v>
      </c>
      <c r="N63" s="6" t="s">
        <v>266</v>
      </c>
      <c r="O63" s="11">
        <v>0</v>
      </c>
      <c r="P63" s="11"/>
      <c r="Q63" s="11"/>
      <c r="R63" s="11"/>
      <c r="S63" s="11"/>
      <c r="T63" s="11"/>
      <c r="U63" s="11"/>
      <c r="V63" s="11"/>
      <c r="W63" s="11">
        <v>1</v>
      </c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>
        <v>1</v>
      </c>
      <c r="AJ63" s="11"/>
      <c r="AK63" s="11"/>
      <c r="AL63" s="11"/>
      <c r="AM63" s="10">
        <v>1</v>
      </c>
      <c r="AN63" s="10">
        <v>1</v>
      </c>
      <c r="AO63" s="11">
        <v>1</v>
      </c>
      <c r="AP63" s="11">
        <v>1</v>
      </c>
      <c r="AQ63" s="11">
        <v>1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791.78023251059892</v>
      </c>
      <c r="BA63" s="10">
        <v>0</v>
      </c>
      <c r="BB63" s="10">
        <v>0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791.78023251059892</v>
      </c>
      <c r="BM63" s="10">
        <v>0</v>
      </c>
      <c r="BN63" s="10">
        <v>0</v>
      </c>
      <c r="BO63" s="10">
        <v>0</v>
      </c>
      <c r="BP63" s="12">
        <v>791.78023251059892</v>
      </c>
      <c r="BQ63" s="12">
        <v>791.78023251059892</v>
      </c>
      <c r="BR63" s="12">
        <v>791.78023251059892</v>
      </c>
      <c r="BS63" s="12">
        <v>791.78023251059892</v>
      </c>
      <c r="BT63" s="12">
        <v>791.78023251059892</v>
      </c>
      <c r="BU63" s="12">
        <f t="shared" si="1"/>
        <v>3958.9011625529947</v>
      </c>
    </row>
    <row r="64" spans="1:73" x14ac:dyDescent="0.25">
      <c r="A64" s="6" t="s">
        <v>258</v>
      </c>
      <c r="B64" s="6" t="s">
        <v>18</v>
      </c>
      <c r="C64" s="18" t="s">
        <v>240</v>
      </c>
      <c r="D64" s="7" t="s">
        <v>241</v>
      </c>
      <c r="E64" s="7" t="s">
        <v>21</v>
      </c>
      <c r="F64" s="7" t="s">
        <v>242</v>
      </c>
      <c r="G64" s="7" t="s">
        <v>23</v>
      </c>
      <c r="H64" s="7" t="s">
        <v>259</v>
      </c>
      <c r="I64" s="6" t="s">
        <v>76</v>
      </c>
      <c r="J64" s="7" t="s">
        <v>244</v>
      </c>
      <c r="K64" s="6" t="s">
        <v>265</v>
      </c>
      <c r="L64" s="9">
        <v>800</v>
      </c>
      <c r="M64" s="10">
        <v>880.00000000000011</v>
      </c>
      <c r="N64" s="6" t="s">
        <v>266</v>
      </c>
      <c r="O64" s="11">
        <v>0</v>
      </c>
      <c r="P64" s="11"/>
      <c r="Q64" s="11"/>
      <c r="R64" s="11"/>
      <c r="S64" s="11"/>
      <c r="T64" s="11"/>
      <c r="U64" s="11"/>
      <c r="V64" s="11"/>
      <c r="W64" s="11">
        <v>3</v>
      </c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>
        <v>3</v>
      </c>
      <c r="AJ64" s="11"/>
      <c r="AK64" s="11"/>
      <c r="AL64" s="11"/>
      <c r="AM64" s="10">
        <v>3</v>
      </c>
      <c r="AN64" s="10">
        <v>3</v>
      </c>
      <c r="AO64" s="11">
        <v>3</v>
      </c>
      <c r="AP64" s="11">
        <v>3.5715111356016234</v>
      </c>
      <c r="AQ64" s="11">
        <v>3.785258934045109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2375.3406975317966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2375.3406975317966</v>
      </c>
      <c r="BM64" s="10">
        <v>0</v>
      </c>
      <c r="BN64" s="10">
        <v>0</v>
      </c>
      <c r="BO64" s="10">
        <v>0</v>
      </c>
      <c r="BP64" s="12">
        <v>2375.3406975317966</v>
      </c>
      <c r="BQ64" s="12">
        <v>2375.3406975317966</v>
      </c>
      <c r="BR64" s="12">
        <v>2375.3406975317966</v>
      </c>
      <c r="BS64" s="12">
        <v>2827.8519173608465</v>
      </c>
      <c r="BT64" s="12">
        <v>2997.0931989110582</v>
      </c>
      <c r="BU64" s="12">
        <f t="shared" si="1"/>
        <v>12950.967208867294</v>
      </c>
    </row>
    <row r="65" spans="1:73" x14ac:dyDescent="0.25">
      <c r="A65" s="6" t="s">
        <v>42</v>
      </c>
      <c r="B65" s="6" t="s">
        <v>18</v>
      </c>
      <c r="C65" s="18" t="s">
        <v>240</v>
      </c>
      <c r="D65" s="7" t="s">
        <v>241</v>
      </c>
      <c r="E65" s="7" t="s">
        <v>21</v>
      </c>
      <c r="F65" s="7" t="s">
        <v>242</v>
      </c>
      <c r="G65" s="7" t="s">
        <v>23</v>
      </c>
      <c r="H65" s="7" t="s">
        <v>260</v>
      </c>
      <c r="I65" s="6" t="s">
        <v>76</v>
      </c>
      <c r="J65" s="7" t="s">
        <v>244</v>
      </c>
      <c r="K65" s="6" t="s">
        <v>265</v>
      </c>
      <c r="L65" s="9">
        <v>800</v>
      </c>
      <c r="M65" s="10">
        <v>880.00000000000011</v>
      </c>
      <c r="N65" s="6" t="s">
        <v>266</v>
      </c>
      <c r="O65" s="11">
        <v>0</v>
      </c>
      <c r="P65" s="11"/>
      <c r="Q65" s="11"/>
      <c r="R65" s="11"/>
      <c r="S65" s="11"/>
      <c r="T65" s="11"/>
      <c r="U65" s="11"/>
      <c r="V65" s="11"/>
      <c r="W65" s="11">
        <v>5</v>
      </c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>
        <v>5</v>
      </c>
      <c r="AJ65" s="11"/>
      <c r="AK65" s="11"/>
      <c r="AL65" s="11"/>
      <c r="AM65" s="10">
        <v>5</v>
      </c>
      <c r="AN65" s="10">
        <v>5</v>
      </c>
      <c r="AO65" s="11">
        <v>5.6163889155199991</v>
      </c>
      <c r="AP65" s="11">
        <v>5.9525185593360392</v>
      </c>
      <c r="AQ65" s="11">
        <v>6.3087648900751825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3958.9011625529947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3958.9011625529947</v>
      </c>
      <c r="BM65" s="10">
        <v>0</v>
      </c>
      <c r="BN65" s="10">
        <v>0</v>
      </c>
      <c r="BO65" s="10">
        <v>0</v>
      </c>
      <c r="BP65" s="12">
        <v>3958.9011625529947</v>
      </c>
      <c r="BQ65" s="12">
        <v>3958.9011625529947</v>
      </c>
      <c r="BR65" s="12">
        <v>4446.9457214003751</v>
      </c>
      <c r="BS65" s="12">
        <v>4713.0865289347439</v>
      </c>
      <c r="BT65" s="12">
        <v>4995.155331518431</v>
      </c>
      <c r="BU65" s="12">
        <f t="shared" si="1"/>
        <v>22072.989906959538</v>
      </c>
    </row>
    <row r="66" spans="1:73" x14ac:dyDescent="0.25">
      <c r="A66" s="6" t="s">
        <v>28</v>
      </c>
      <c r="B66" s="6" t="s">
        <v>18</v>
      </c>
      <c r="C66" s="18" t="s">
        <v>240</v>
      </c>
      <c r="D66" s="7" t="s">
        <v>241</v>
      </c>
      <c r="E66" s="7" t="s">
        <v>21</v>
      </c>
      <c r="F66" s="7" t="s">
        <v>242</v>
      </c>
      <c r="G66" s="7" t="s">
        <v>23</v>
      </c>
      <c r="H66" s="7" t="s">
        <v>247</v>
      </c>
      <c r="I66" s="6" t="s">
        <v>252</v>
      </c>
      <c r="J66" s="7" t="s">
        <v>244</v>
      </c>
      <c r="K66" s="6" t="s">
        <v>265</v>
      </c>
      <c r="L66" s="9"/>
      <c r="M66" s="10">
        <v>880.00000000000011</v>
      </c>
      <c r="N66" s="6" t="s">
        <v>267</v>
      </c>
      <c r="O66" s="11">
        <v>0</v>
      </c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0">
        <v>0</v>
      </c>
      <c r="AN66" s="10">
        <v>0</v>
      </c>
      <c r="AO66" s="11">
        <v>0</v>
      </c>
      <c r="AP66" s="11">
        <v>0</v>
      </c>
      <c r="AQ66" s="11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f t="shared" si="1"/>
        <v>0</v>
      </c>
    </row>
    <row r="67" spans="1:73" x14ac:dyDescent="0.25">
      <c r="A67" s="6" t="s">
        <v>30</v>
      </c>
      <c r="B67" s="6" t="s">
        <v>18</v>
      </c>
      <c r="C67" s="18" t="s">
        <v>240</v>
      </c>
      <c r="D67" s="7" t="s">
        <v>241</v>
      </c>
      <c r="E67" s="7" t="s">
        <v>21</v>
      </c>
      <c r="F67" s="7" t="s">
        <v>242</v>
      </c>
      <c r="G67" s="7" t="s">
        <v>23</v>
      </c>
      <c r="H67" s="7" t="s">
        <v>249</v>
      </c>
      <c r="I67" s="6" t="s">
        <v>252</v>
      </c>
      <c r="J67" s="7" t="s">
        <v>244</v>
      </c>
      <c r="K67" s="6" t="s">
        <v>265</v>
      </c>
      <c r="L67" s="9"/>
      <c r="M67" s="10">
        <v>880.00000000000011</v>
      </c>
      <c r="N67" s="6" t="s">
        <v>267</v>
      </c>
      <c r="O67" s="11">
        <v>0</v>
      </c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0">
        <v>0</v>
      </c>
      <c r="AN67" s="10">
        <v>0</v>
      </c>
      <c r="AO67" s="11">
        <v>0</v>
      </c>
      <c r="AP67" s="11">
        <v>0</v>
      </c>
      <c r="AQ67" s="11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f t="shared" si="1"/>
        <v>0</v>
      </c>
    </row>
    <row r="68" spans="1:73" x14ac:dyDescent="0.25">
      <c r="A68" s="6" t="s">
        <v>28</v>
      </c>
      <c r="B68" s="6" t="s">
        <v>18</v>
      </c>
      <c r="C68" s="18" t="s">
        <v>240</v>
      </c>
      <c r="D68" s="7" t="s">
        <v>241</v>
      </c>
      <c r="E68" s="7" t="s">
        <v>21</v>
      </c>
      <c r="F68" s="7" t="s">
        <v>242</v>
      </c>
      <c r="G68" s="7" t="s">
        <v>23</v>
      </c>
      <c r="H68" s="7" t="s">
        <v>247</v>
      </c>
      <c r="I68" s="6" t="s">
        <v>252</v>
      </c>
      <c r="J68" s="7" t="s">
        <v>244</v>
      </c>
      <c r="K68" s="6" t="s">
        <v>268</v>
      </c>
      <c r="L68" s="9">
        <v>1500</v>
      </c>
      <c r="M68" s="10">
        <v>1650.0000000000002</v>
      </c>
      <c r="N68" s="6" t="s">
        <v>268</v>
      </c>
      <c r="O68" s="11">
        <v>0</v>
      </c>
      <c r="P68" s="11"/>
      <c r="Q68" s="11"/>
      <c r="R68" s="11"/>
      <c r="S68" s="11"/>
      <c r="T68" s="11"/>
      <c r="U68" s="11"/>
      <c r="V68" s="11"/>
      <c r="W68" s="11">
        <v>140</v>
      </c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>
        <v>148</v>
      </c>
      <c r="AJ68" s="11"/>
      <c r="AK68" s="11"/>
      <c r="AL68" s="11"/>
      <c r="AM68" s="10">
        <v>140</v>
      </c>
      <c r="AN68" s="10">
        <v>148</v>
      </c>
      <c r="AO68" s="11">
        <v>157.25888963455998</v>
      </c>
      <c r="AP68" s="11">
        <v>166.67051966140909</v>
      </c>
      <c r="AQ68" s="11">
        <v>176.64541692210508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207842.31103403223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219719.01452169119</v>
      </c>
      <c r="BM68" s="10">
        <v>0</v>
      </c>
      <c r="BN68" s="10">
        <v>0</v>
      </c>
      <c r="BO68" s="10">
        <v>0</v>
      </c>
      <c r="BP68" s="12">
        <v>207842.31103403223</v>
      </c>
      <c r="BQ68" s="12">
        <v>219719.01452169119</v>
      </c>
      <c r="BR68" s="12">
        <v>233464.65037351972</v>
      </c>
      <c r="BS68" s="12">
        <v>247437.04276907406</v>
      </c>
      <c r="BT68" s="12">
        <v>262245.65490471758</v>
      </c>
      <c r="BU68" s="12">
        <f t="shared" si="1"/>
        <v>1170708.6736030348</v>
      </c>
    </row>
    <row r="69" spans="1:73" x14ac:dyDescent="0.25">
      <c r="A69" s="6" t="s">
        <v>30</v>
      </c>
      <c r="B69" s="6" t="s">
        <v>18</v>
      </c>
      <c r="C69" s="18" t="s">
        <v>240</v>
      </c>
      <c r="D69" s="7" t="s">
        <v>241</v>
      </c>
      <c r="E69" s="7" t="s">
        <v>21</v>
      </c>
      <c r="F69" s="7" t="s">
        <v>242</v>
      </c>
      <c r="G69" s="7" t="s">
        <v>23</v>
      </c>
      <c r="H69" s="7" t="s">
        <v>249</v>
      </c>
      <c r="I69" s="6" t="s">
        <v>252</v>
      </c>
      <c r="J69" s="7" t="s">
        <v>244</v>
      </c>
      <c r="K69" s="6" t="s">
        <v>268</v>
      </c>
      <c r="L69" s="9">
        <v>1500</v>
      </c>
      <c r="M69" s="10">
        <v>1650.0000000000002</v>
      </c>
      <c r="N69" s="6" t="s">
        <v>268</v>
      </c>
      <c r="O69" s="11">
        <v>0</v>
      </c>
      <c r="P69" s="11"/>
      <c r="Q69" s="11"/>
      <c r="R69" s="11"/>
      <c r="S69" s="11"/>
      <c r="T69" s="11"/>
      <c r="U69" s="11"/>
      <c r="V69" s="11"/>
      <c r="W69" s="11">
        <v>87</v>
      </c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>
        <v>92</v>
      </c>
      <c r="AJ69" s="11"/>
      <c r="AK69" s="11"/>
      <c r="AL69" s="11"/>
      <c r="AM69" s="10">
        <v>87</v>
      </c>
      <c r="AN69" s="10">
        <v>92</v>
      </c>
      <c r="AO69" s="11">
        <v>97.725167130047979</v>
      </c>
      <c r="AP69" s="11">
        <v>103.57382293244707</v>
      </c>
      <c r="AQ69" s="11">
        <v>109.77250908730815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129159.15042829145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0</v>
      </c>
      <c r="BI69" s="10">
        <v>0</v>
      </c>
      <c r="BJ69" s="10">
        <v>0</v>
      </c>
      <c r="BK69" s="10">
        <v>0</v>
      </c>
      <c r="BL69" s="10">
        <v>136582.09010807832</v>
      </c>
      <c r="BM69" s="10">
        <v>0</v>
      </c>
      <c r="BN69" s="10">
        <v>0</v>
      </c>
      <c r="BO69" s="10">
        <v>0</v>
      </c>
      <c r="BP69" s="12">
        <v>129159.15042829145</v>
      </c>
      <c r="BQ69" s="12">
        <v>136582.09010807832</v>
      </c>
      <c r="BR69" s="12">
        <v>145081.60416068725</v>
      </c>
      <c r="BS69" s="12">
        <v>153764.44800649604</v>
      </c>
      <c r="BT69" s="12">
        <v>162966.94269078877</v>
      </c>
      <c r="BU69" s="12">
        <f t="shared" ref="BU69:BU132" si="2">SUM(BP69:BT69)</f>
        <v>727554.23539434187</v>
      </c>
    </row>
    <row r="70" spans="1:73" x14ac:dyDescent="0.25">
      <c r="A70" s="6" t="s">
        <v>34</v>
      </c>
      <c r="B70" s="6" t="s">
        <v>18</v>
      </c>
      <c r="C70" s="18" t="s">
        <v>240</v>
      </c>
      <c r="D70" s="7" t="s">
        <v>241</v>
      </c>
      <c r="E70" s="7" t="s">
        <v>21</v>
      </c>
      <c r="F70" s="7" t="s">
        <v>242</v>
      </c>
      <c r="G70" s="7" t="s">
        <v>23</v>
      </c>
      <c r="H70" s="7" t="s">
        <v>251</v>
      </c>
      <c r="I70" s="6" t="s">
        <v>252</v>
      </c>
      <c r="J70" s="7" t="s">
        <v>244</v>
      </c>
      <c r="K70" s="6" t="s">
        <v>268</v>
      </c>
      <c r="L70" s="9">
        <v>1500</v>
      </c>
      <c r="M70" s="10">
        <v>1650.0000000000002</v>
      </c>
      <c r="N70" s="6" t="s">
        <v>268</v>
      </c>
      <c r="O70" s="11">
        <v>0</v>
      </c>
      <c r="P70" s="11"/>
      <c r="Q70" s="11"/>
      <c r="R70" s="11"/>
      <c r="S70" s="11"/>
      <c r="T70" s="11"/>
      <c r="U70" s="11"/>
      <c r="V70" s="11"/>
      <c r="W70" s="11">
        <v>87</v>
      </c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>
        <v>92</v>
      </c>
      <c r="AJ70" s="11"/>
      <c r="AK70" s="11"/>
      <c r="AL70" s="11"/>
      <c r="AM70" s="10">
        <v>87</v>
      </c>
      <c r="AN70" s="10">
        <v>92</v>
      </c>
      <c r="AO70" s="11">
        <v>97.725167130047979</v>
      </c>
      <c r="AP70" s="11">
        <v>103.57382293244707</v>
      </c>
      <c r="AQ70" s="11">
        <v>109.77250908730815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129159.15042829145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136582.09010807832</v>
      </c>
      <c r="BM70" s="10">
        <v>0</v>
      </c>
      <c r="BN70" s="10">
        <v>0</v>
      </c>
      <c r="BO70" s="10">
        <v>0</v>
      </c>
      <c r="BP70" s="12">
        <v>129159.15042829145</v>
      </c>
      <c r="BQ70" s="12">
        <v>136582.09010807832</v>
      </c>
      <c r="BR70" s="12">
        <v>145081.60416068725</v>
      </c>
      <c r="BS70" s="12">
        <v>153764.44800649604</v>
      </c>
      <c r="BT70" s="12">
        <v>162966.94269078877</v>
      </c>
      <c r="BU70" s="12">
        <f t="shared" si="2"/>
        <v>727554.23539434187</v>
      </c>
    </row>
    <row r="71" spans="1:73" x14ac:dyDescent="0.25">
      <c r="A71" s="6" t="s">
        <v>32</v>
      </c>
      <c r="B71" s="6" t="s">
        <v>18</v>
      </c>
      <c r="C71" s="18" t="s">
        <v>240</v>
      </c>
      <c r="D71" s="7" t="s">
        <v>241</v>
      </c>
      <c r="E71" s="7" t="s">
        <v>21</v>
      </c>
      <c r="F71" s="7" t="s">
        <v>242</v>
      </c>
      <c r="G71" s="7" t="s">
        <v>23</v>
      </c>
      <c r="H71" s="7" t="s">
        <v>250</v>
      </c>
      <c r="I71" s="6" t="s">
        <v>252</v>
      </c>
      <c r="J71" s="7" t="s">
        <v>244</v>
      </c>
      <c r="K71" s="6" t="s">
        <v>268</v>
      </c>
      <c r="L71" s="9">
        <v>1500</v>
      </c>
      <c r="M71" s="10">
        <v>1650.0000000000002</v>
      </c>
      <c r="N71" s="6" t="s">
        <v>268</v>
      </c>
      <c r="O71" s="11">
        <v>0</v>
      </c>
      <c r="P71" s="11"/>
      <c r="Q71" s="11"/>
      <c r="R71" s="11"/>
      <c r="S71" s="11"/>
      <c r="T71" s="11"/>
      <c r="U71" s="11"/>
      <c r="V71" s="11"/>
      <c r="W71" s="11">
        <v>34</v>
      </c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>
        <v>36</v>
      </c>
      <c r="AJ71" s="11"/>
      <c r="AK71" s="11"/>
      <c r="AL71" s="11"/>
      <c r="AM71" s="10">
        <v>34</v>
      </c>
      <c r="AN71" s="10">
        <v>36</v>
      </c>
      <c r="AO71" s="11">
        <v>38.191444625535986</v>
      </c>
      <c r="AP71" s="11">
        <v>40.477126203485064</v>
      </c>
      <c r="AQ71" s="11">
        <v>42.899601252511239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50475.989822550684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0">
        <v>53445.165694465424</v>
      </c>
      <c r="BM71" s="10">
        <v>0</v>
      </c>
      <c r="BN71" s="10">
        <v>0</v>
      </c>
      <c r="BO71" s="10">
        <v>0</v>
      </c>
      <c r="BP71" s="12">
        <v>50475.989822550684</v>
      </c>
      <c r="BQ71" s="12">
        <v>53445.165694465424</v>
      </c>
      <c r="BR71" s="12">
        <v>56698.557947854773</v>
      </c>
      <c r="BS71" s="12">
        <v>60091.853243917983</v>
      </c>
      <c r="BT71" s="12">
        <v>63688.230476859993</v>
      </c>
      <c r="BU71" s="12">
        <f t="shared" si="2"/>
        <v>284399.79718564887</v>
      </c>
    </row>
    <row r="72" spans="1:73" x14ac:dyDescent="0.25">
      <c r="A72" s="6" t="s">
        <v>17</v>
      </c>
      <c r="B72" s="6" t="s">
        <v>18</v>
      </c>
      <c r="C72" s="18" t="s">
        <v>240</v>
      </c>
      <c r="D72" s="7" t="s">
        <v>241</v>
      </c>
      <c r="E72" s="7" t="s">
        <v>21</v>
      </c>
      <c r="F72" s="7" t="s">
        <v>242</v>
      </c>
      <c r="G72" s="7" t="s">
        <v>23</v>
      </c>
      <c r="H72" s="7" t="s">
        <v>254</v>
      </c>
      <c r="I72" s="6" t="s">
        <v>252</v>
      </c>
      <c r="J72" s="7" t="s">
        <v>244</v>
      </c>
      <c r="K72" s="6" t="s">
        <v>269</v>
      </c>
      <c r="L72" s="9"/>
      <c r="M72" s="10">
        <v>1650.0000000000002</v>
      </c>
      <c r="N72" s="6" t="s">
        <v>270</v>
      </c>
      <c r="O72" s="11">
        <v>0</v>
      </c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0">
        <v>0</v>
      </c>
      <c r="AN72" s="10">
        <v>0</v>
      </c>
      <c r="AO72" s="11">
        <v>0</v>
      </c>
      <c r="AP72" s="11">
        <v>0</v>
      </c>
      <c r="AQ72" s="11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f t="shared" si="2"/>
        <v>0</v>
      </c>
    </row>
    <row r="73" spans="1:73" x14ac:dyDescent="0.25">
      <c r="A73" s="6" t="s">
        <v>28</v>
      </c>
      <c r="B73" s="6" t="s">
        <v>18</v>
      </c>
      <c r="C73" s="18" t="s">
        <v>240</v>
      </c>
      <c r="D73" s="7" t="s">
        <v>241</v>
      </c>
      <c r="E73" s="7" t="s">
        <v>21</v>
      </c>
      <c r="F73" s="7" t="s">
        <v>242</v>
      </c>
      <c r="G73" s="7" t="s">
        <v>23</v>
      </c>
      <c r="H73" s="7" t="s">
        <v>247</v>
      </c>
      <c r="I73" s="6" t="s">
        <v>252</v>
      </c>
      <c r="J73" s="7" t="s">
        <v>244</v>
      </c>
      <c r="K73" s="6" t="s">
        <v>269</v>
      </c>
      <c r="L73" s="9"/>
      <c r="M73" s="10">
        <v>1650.0000000000002</v>
      </c>
      <c r="N73" s="6" t="s">
        <v>270</v>
      </c>
      <c r="O73" s="11">
        <v>0</v>
      </c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0">
        <v>0</v>
      </c>
      <c r="AN73" s="10">
        <v>0</v>
      </c>
      <c r="AO73" s="11">
        <v>0</v>
      </c>
      <c r="AP73" s="11">
        <v>0</v>
      </c>
      <c r="AQ73" s="11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f t="shared" si="2"/>
        <v>0</v>
      </c>
    </row>
    <row r="74" spans="1:73" x14ac:dyDescent="0.25">
      <c r="A74" s="6" t="s">
        <v>30</v>
      </c>
      <c r="B74" s="6" t="s">
        <v>18</v>
      </c>
      <c r="C74" s="18" t="s">
        <v>240</v>
      </c>
      <c r="D74" s="7" t="s">
        <v>241</v>
      </c>
      <c r="E74" s="7" t="s">
        <v>21</v>
      </c>
      <c r="F74" s="7" t="s">
        <v>242</v>
      </c>
      <c r="G74" s="7" t="s">
        <v>23</v>
      </c>
      <c r="H74" s="7" t="s">
        <v>249</v>
      </c>
      <c r="I74" s="6" t="s">
        <v>252</v>
      </c>
      <c r="J74" s="7" t="s">
        <v>244</v>
      </c>
      <c r="K74" s="6" t="s">
        <v>269</v>
      </c>
      <c r="L74" s="9"/>
      <c r="M74" s="10">
        <v>1650.0000000000002</v>
      </c>
      <c r="N74" s="6" t="s">
        <v>270</v>
      </c>
      <c r="O74" s="11">
        <v>0</v>
      </c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0">
        <v>0</v>
      </c>
      <c r="AN74" s="10">
        <v>0</v>
      </c>
      <c r="AO74" s="11">
        <v>0</v>
      </c>
      <c r="AP74" s="11">
        <v>0</v>
      </c>
      <c r="AQ74" s="11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f t="shared" si="2"/>
        <v>0</v>
      </c>
    </row>
    <row r="75" spans="1:73" x14ac:dyDescent="0.25">
      <c r="A75" s="6" t="s">
        <v>34</v>
      </c>
      <c r="B75" s="6" t="s">
        <v>18</v>
      </c>
      <c r="C75" s="18" t="s">
        <v>240</v>
      </c>
      <c r="D75" s="7" t="s">
        <v>241</v>
      </c>
      <c r="E75" s="7" t="s">
        <v>21</v>
      </c>
      <c r="F75" s="7" t="s">
        <v>242</v>
      </c>
      <c r="G75" s="7" t="s">
        <v>23</v>
      </c>
      <c r="H75" s="7" t="s">
        <v>251</v>
      </c>
      <c r="I75" s="6" t="s">
        <v>252</v>
      </c>
      <c r="J75" s="7" t="s">
        <v>244</v>
      </c>
      <c r="K75" s="6" t="s">
        <v>269</v>
      </c>
      <c r="L75" s="9"/>
      <c r="M75" s="10">
        <v>1650.0000000000002</v>
      </c>
      <c r="N75" s="6" t="s">
        <v>270</v>
      </c>
      <c r="O75" s="11">
        <v>0</v>
      </c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0">
        <v>0</v>
      </c>
      <c r="AN75" s="10">
        <v>0</v>
      </c>
      <c r="AO75" s="11">
        <v>0</v>
      </c>
      <c r="AP75" s="11">
        <v>0</v>
      </c>
      <c r="AQ75" s="11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f t="shared" si="2"/>
        <v>0</v>
      </c>
    </row>
    <row r="76" spans="1:73" x14ac:dyDescent="0.25">
      <c r="A76" s="6" t="s">
        <v>96</v>
      </c>
      <c r="B76" s="6" t="s">
        <v>18</v>
      </c>
      <c r="C76" s="18" t="s">
        <v>240</v>
      </c>
      <c r="D76" s="7" t="s">
        <v>241</v>
      </c>
      <c r="E76" s="7" t="s">
        <v>21</v>
      </c>
      <c r="F76" s="7" t="s">
        <v>242</v>
      </c>
      <c r="G76" s="7" t="s">
        <v>23</v>
      </c>
      <c r="H76" s="7" t="s">
        <v>262</v>
      </c>
      <c r="I76" s="6" t="s">
        <v>252</v>
      </c>
      <c r="J76" s="7" t="s">
        <v>244</v>
      </c>
      <c r="K76" s="6" t="s">
        <v>269</v>
      </c>
      <c r="L76" s="9"/>
      <c r="M76" s="10">
        <v>1650.0000000000002</v>
      </c>
      <c r="N76" s="6" t="s">
        <v>270</v>
      </c>
      <c r="O76" s="11">
        <v>0</v>
      </c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0">
        <v>0</v>
      </c>
      <c r="AN76" s="10">
        <v>0</v>
      </c>
      <c r="AO76" s="11">
        <v>0</v>
      </c>
      <c r="AP76" s="11">
        <v>0</v>
      </c>
      <c r="AQ76" s="11">
        <v>0</v>
      </c>
      <c r="AR76" s="10">
        <v>0</v>
      </c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0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f t="shared" si="2"/>
        <v>0</v>
      </c>
    </row>
    <row r="77" spans="1:73" x14ac:dyDescent="0.25">
      <c r="A77" s="6" t="s">
        <v>40</v>
      </c>
      <c r="B77" s="6" t="s">
        <v>18</v>
      </c>
      <c r="C77" s="18" t="s">
        <v>240</v>
      </c>
      <c r="D77" s="7" t="s">
        <v>241</v>
      </c>
      <c r="E77" s="7" t="s">
        <v>21</v>
      </c>
      <c r="F77" s="7" t="s">
        <v>242</v>
      </c>
      <c r="G77" s="7" t="s">
        <v>23</v>
      </c>
      <c r="H77" s="7" t="s">
        <v>256</v>
      </c>
      <c r="I77" s="6" t="s">
        <v>252</v>
      </c>
      <c r="J77" s="7" t="s">
        <v>244</v>
      </c>
      <c r="K77" s="6" t="s">
        <v>269</v>
      </c>
      <c r="L77" s="9"/>
      <c r="M77" s="10">
        <v>1650.0000000000002</v>
      </c>
      <c r="N77" s="6" t="s">
        <v>270</v>
      </c>
      <c r="O77" s="11">
        <v>0</v>
      </c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0">
        <v>0</v>
      </c>
      <c r="AN77" s="10">
        <v>0</v>
      </c>
      <c r="AO77" s="11">
        <v>0</v>
      </c>
      <c r="AP77" s="11">
        <v>0</v>
      </c>
      <c r="AQ77" s="11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0</v>
      </c>
      <c r="BM77" s="10">
        <v>0</v>
      </c>
      <c r="BN77" s="10">
        <v>0</v>
      </c>
      <c r="BO77" s="10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f t="shared" si="2"/>
        <v>0</v>
      </c>
    </row>
    <row r="78" spans="1:73" x14ac:dyDescent="0.25">
      <c r="A78" s="6" t="s">
        <v>42</v>
      </c>
      <c r="B78" s="6" t="s">
        <v>18</v>
      </c>
      <c r="C78" s="18" t="s">
        <v>240</v>
      </c>
      <c r="D78" s="7" t="s">
        <v>241</v>
      </c>
      <c r="E78" s="7" t="s">
        <v>21</v>
      </c>
      <c r="F78" s="7" t="s">
        <v>242</v>
      </c>
      <c r="G78" s="7" t="s">
        <v>23</v>
      </c>
      <c r="H78" s="7" t="s">
        <v>260</v>
      </c>
      <c r="I78" s="6" t="s">
        <v>252</v>
      </c>
      <c r="J78" s="7" t="s">
        <v>244</v>
      </c>
      <c r="K78" s="6" t="s">
        <v>269</v>
      </c>
      <c r="L78" s="9"/>
      <c r="M78" s="10">
        <v>1650.0000000000002</v>
      </c>
      <c r="N78" s="6" t="s">
        <v>270</v>
      </c>
      <c r="O78" s="11">
        <v>0</v>
      </c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0">
        <v>0</v>
      </c>
      <c r="AN78" s="10">
        <v>0</v>
      </c>
      <c r="AO78" s="11">
        <v>0</v>
      </c>
      <c r="AP78" s="11">
        <v>0</v>
      </c>
      <c r="AQ78" s="11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f t="shared" si="2"/>
        <v>0</v>
      </c>
    </row>
    <row r="79" spans="1:73" x14ac:dyDescent="0.25">
      <c r="A79" s="6" t="s">
        <v>17</v>
      </c>
      <c r="B79" s="6" t="s">
        <v>18</v>
      </c>
      <c r="C79" s="18" t="s">
        <v>240</v>
      </c>
      <c r="D79" s="7" t="s">
        <v>241</v>
      </c>
      <c r="E79" s="7" t="s">
        <v>21</v>
      </c>
      <c r="F79" s="7" t="s">
        <v>242</v>
      </c>
      <c r="G79" s="7" t="s">
        <v>23</v>
      </c>
      <c r="H79" s="7" t="s">
        <v>254</v>
      </c>
      <c r="I79" s="6" t="s">
        <v>76</v>
      </c>
      <c r="J79" s="7" t="s">
        <v>244</v>
      </c>
      <c r="K79" s="6" t="s">
        <v>245</v>
      </c>
      <c r="L79" s="9">
        <v>6400</v>
      </c>
      <c r="M79" s="10">
        <v>0</v>
      </c>
      <c r="N79" s="6" t="s">
        <v>271</v>
      </c>
      <c r="O79" s="11">
        <v>0</v>
      </c>
      <c r="P79" s="11"/>
      <c r="Q79" s="11"/>
      <c r="R79" s="11"/>
      <c r="S79" s="11"/>
      <c r="T79" s="11"/>
      <c r="U79" s="11"/>
      <c r="V79" s="11">
        <v>1</v>
      </c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>
        <v>0</v>
      </c>
      <c r="AJ79" s="11"/>
      <c r="AK79" s="11"/>
      <c r="AL79" s="11"/>
      <c r="AM79" s="10">
        <v>1</v>
      </c>
      <c r="AN79" s="10">
        <v>0</v>
      </c>
      <c r="AO79" s="11">
        <v>0</v>
      </c>
      <c r="AP79" s="11">
        <v>0</v>
      </c>
      <c r="AQ79" s="11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6334.2418600847914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2">
        <v>6334.2418600847914</v>
      </c>
      <c r="BQ79" s="12">
        <v>0</v>
      </c>
      <c r="BR79" s="12">
        <v>0</v>
      </c>
      <c r="BS79" s="12">
        <v>0</v>
      </c>
      <c r="BT79" s="12">
        <v>0</v>
      </c>
      <c r="BU79" s="12">
        <f t="shared" si="2"/>
        <v>6334.2418600847914</v>
      </c>
    </row>
    <row r="80" spans="1:73" x14ac:dyDescent="0.25">
      <c r="A80" s="6" t="s">
        <v>28</v>
      </c>
      <c r="B80" s="6" t="s">
        <v>18</v>
      </c>
      <c r="C80" s="18" t="s">
        <v>240</v>
      </c>
      <c r="D80" s="7" t="s">
        <v>241</v>
      </c>
      <c r="E80" s="7" t="s">
        <v>21</v>
      </c>
      <c r="F80" s="7" t="s">
        <v>242</v>
      </c>
      <c r="G80" s="7" t="s">
        <v>23</v>
      </c>
      <c r="H80" s="7" t="s">
        <v>247</v>
      </c>
      <c r="I80" s="6" t="s">
        <v>76</v>
      </c>
      <c r="J80" s="7" t="s">
        <v>244</v>
      </c>
      <c r="K80" s="6" t="s">
        <v>245</v>
      </c>
      <c r="L80" s="9">
        <v>2137600</v>
      </c>
      <c r="M80" s="10">
        <v>0</v>
      </c>
      <c r="N80" s="6" t="s">
        <v>271</v>
      </c>
      <c r="O80" s="11">
        <v>0</v>
      </c>
      <c r="P80" s="11"/>
      <c r="Q80" s="11"/>
      <c r="R80" s="11"/>
      <c r="S80" s="11"/>
      <c r="T80" s="11"/>
      <c r="U80" s="11"/>
      <c r="V80" s="11">
        <v>1</v>
      </c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>
        <v>0</v>
      </c>
      <c r="AJ80" s="11"/>
      <c r="AK80" s="11"/>
      <c r="AL80" s="11"/>
      <c r="AM80" s="10">
        <v>1</v>
      </c>
      <c r="AN80" s="10">
        <v>0</v>
      </c>
      <c r="AO80" s="11">
        <v>0</v>
      </c>
      <c r="AP80" s="11">
        <v>0</v>
      </c>
      <c r="AQ80" s="11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2115636.7812683205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2">
        <v>2115636.7812683205</v>
      </c>
      <c r="BQ80" s="12">
        <v>0</v>
      </c>
      <c r="BR80" s="12">
        <v>0</v>
      </c>
      <c r="BS80" s="12">
        <v>0</v>
      </c>
      <c r="BT80" s="12">
        <v>0</v>
      </c>
      <c r="BU80" s="12">
        <f t="shared" si="2"/>
        <v>2115636.7812683205</v>
      </c>
    </row>
    <row r="81" spans="1:73" x14ac:dyDescent="0.25">
      <c r="A81" s="6" t="s">
        <v>30</v>
      </c>
      <c r="B81" s="6" t="s">
        <v>18</v>
      </c>
      <c r="C81" s="18" t="s">
        <v>240</v>
      </c>
      <c r="D81" s="7" t="s">
        <v>241</v>
      </c>
      <c r="E81" s="7" t="s">
        <v>21</v>
      </c>
      <c r="F81" s="7" t="s">
        <v>242</v>
      </c>
      <c r="G81" s="7" t="s">
        <v>23</v>
      </c>
      <c r="H81" s="7" t="s">
        <v>249</v>
      </c>
      <c r="I81" s="6" t="s">
        <v>76</v>
      </c>
      <c r="J81" s="7" t="s">
        <v>244</v>
      </c>
      <c r="K81" s="6" t="s">
        <v>245</v>
      </c>
      <c r="L81" s="9">
        <v>806400</v>
      </c>
      <c r="M81" s="10">
        <v>0</v>
      </c>
      <c r="N81" s="6" t="s">
        <v>271</v>
      </c>
      <c r="O81" s="11">
        <v>0</v>
      </c>
      <c r="P81" s="11"/>
      <c r="Q81" s="11"/>
      <c r="R81" s="11"/>
      <c r="S81" s="11"/>
      <c r="T81" s="11"/>
      <c r="U81" s="11"/>
      <c r="V81" s="11">
        <v>1</v>
      </c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>
        <v>0</v>
      </c>
      <c r="AJ81" s="11"/>
      <c r="AK81" s="11"/>
      <c r="AL81" s="11"/>
      <c r="AM81" s="10">
        <v>1</v>
      </c>
      <c r="AN81" s="10">
        <v>0</v>
      </c>
      <c r="AO81" s="11">
        <v>0</v>
      </c>
      <c r="AP81" s="11">
        <v>0</v>
      </c>
      <c r="AQ81" s="11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798114.47437068366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2">
        <v>798114.47437068366</v>
      </c>
      <c r="BQ81" s="12">
        <v>0</v>
      </c>
      <c r="BR81" s="12">
        <v>0</v>
      </c>
      <c r="BS81" s="12">
        <v>0</v>
      </c>
      <c r="BT81" s="12">
        <v>0</v>
      </c>
      <c r="BU81" s="12">
        <f t="shared" si="2"/>
        <v>798114.47437068366</v>
      </c>
    </row>
    <row r="82" spans="1:73" x14ac:dyDescent="0.25">
      <c r="A82" s="6" t="s">
        <v>32</v>
      </c>
      <c r="B82" s="6" t="s">
        <v>18</v>
      </c>
      <c r="C82" s="18" t="s">
        <v>240</v>
      </c>
      <c r="D82" s="7" t="s">
        <v>241</v>
      </c>
      <c r="E82" s="7" t="s">
        <v>21</v>
      </c>
      <c r="F82" s="7" t="s">
        <v>242</v>
      </c>
      <c r="G82" s="7" t="s">
        <v>23</v>
      </c>
      <c r="H82" s="7" t="s">
        <v>250</v>
      </c>
      <c r="I82" s="6" t="s">
        <v>76</v>
      </c>
      <c r="J82" s="7" t="s">
        <v>244</v>
      </c>
      <c r="K82" s="6" t="s">
        <v>245</v>
      </c>
      <c r="L82" s="9">
        <v>211200</v>
      </c>
      <c r="M82" s="10">
        <v>0</v>
      </c>
      <c r="N82" s="6" t="s">
        <v>271</v>
      </c>
      <c r="O82" s="11">
        <v>0</v>
      </c>
      <c r="P82" s="11"/>
      <c r="Q82" s="11"/>
      <c r="R82" s="11"/>
      <c r="S82" s="11"/>
      <c r="T82" s="11"/>
      <c r="U82" s="11"/>
      <c r="V82" s="11">
        <v>1</v>
      </c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>
        <v>0</v>
      </c>
      <c r="AJ82" s="11"/>
      <c r="AK82" s="11"/>
      <c r="AL82" s="11"/>
      <c r="AM82" s="10">
        <v>1</v>
      </c>
      <c r="AN82" s="10">
        <v>0</v>
      </c>
      <c r="AO82" s="11">
        <v>0</v>
      </c>
      <c r="AP82" s="11">
        <v>0</v>
      </c>
      <c r="AQ82" s="11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209029.98138279811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2">
        <v>209029.98138279811</v>
      </c>
      <c r="BQ82" s="12">
        <v>0</v>
      </c>
      <c r="BR82" s="12">
        <v>0</v>
      </c>
      <c r="BS82" s="12">
        <v>0</v>
      </c>
      <c r="BT82" s="12">
        <v>0</v>
      </c>
      <c r="BU82" s="12">
        <f t="shared" si="2"/>
        <v>209029.98138279811</v>
      </c>
    </row>
    <row r="83" spans="1:73" x14ac:dyDescent="0.25">
      <c r="A83" s="6" t="s">
        <v>34</v>
      </c>
      <c r="B83" s="6" t="s">
        <v>18</v>
      </c>
      <c r="C83" s="18" t="s">
        <v>240</v>
      </c>
      <c r="D83" s="7" t="s">
        <v>241</v>
      </c>
      <c r="E83" s="7" t="s">
        <v>21</v>
      </c>
      <c r="F83" s="7" t="s">
        <v>242</v>
      </c>
      <c r="G83" s="7" t="s">
        <v>23</v>
      </c>
      <c r="H83" s="7" t="s">
        <v>251</v>
      </c>
      <c r="I83" s="6" t="s">
        <v>76</v>
      </c>
      <c r="J83" s="7" t="s">
        <v>244</v>
      </c>
      <c r="K83" s="6" t="s">
        <v>245</v>
      </c>
      <c r="L83" s="9">
        <v>1632000</v>
      </c>
      <c r="M83" s="10">
        <v>0</v>
      </c>
      <c r="N83" s="6" t="s">
        <v>271</v>
      </c>
      <c r="O83" s="11">
        <v>0</v>
      </c>
      <c r="P83" s="11"/>
      <c r="Q83" s="11"/>
      <c r="R83" s="11"/>
      <c r="S83" s="11"/>
      <c r="T83" s="11"/>
      <c r="U83" s="11"/>
      <c r="V83" s="11">
        <v>1</v>
      </c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>
        <v>0</v>
      </c>
      <c r="AJ83" s="11"/>
      <c r="AK83" s="11"/>
      <c r="AL83" s="11"/>
      <c r="AM83" s="10">
        <v>1</v>
      </c>
      <c r="AN83" s="10">
        <v>0</v>
      </c>
      <c r="AO83" s="11">
        <v>0</v>
      </c>
      <c r="AP83" s="11">
        <v>0</v>
      </c>
      <c r="AQ83" s="11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1615231.6743216219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2">
        <v>1615231.6743216219</v>
      </c>
      <c r="BQ83" s="12">
        <v>0</v>
      </c>
      <c r="BR83" s="12">
        <v>0</v>
      </c>
      <c r="BS83" s="12">
        <v>0</v>
      </c>
      <c r="BT83" s="12">
        <v>0</v>
      </c>
      <c r="BU83" s="12">
        <f t="shared" si="2"/>
        <v>1615231.6743216219</v>
      </c>
    </row>
    <row r="84" spans="1:73" x14ac:dyDescent="0.25">
      <c r="A84" s="6" t="s">
        <v>38</v>
      </c>
      <c r="B84" s="6" t="s">
        <v>18</v>
      </c>
      <c r="C84" s="18" t="s">
        <v>240</v>
      </c>
      <c r="D84" s="7" t="s">
        <v>241</v>
      </c>
      <c r="E84" s="7" t="s">
        <v>21</v>
      </c>
      <c r="F84" s="7" t="s">
        <v>242</v>
      </c>
      <c r="G84" s="7" t="s">
        <v>23</v>
      </c>
      <c r="H84" s="7" t="s">
        <v>243</v>
      </c>
      <c r="I84" s="6" t="s">
        <v>76</v>
      </c>
      <c r="J84" s="7" t="s">
        <v>244</v>
      </c>
      <c r="K84" s="6" t="s">
        <v>245</v>
      </c>
      <c r="L84" s="9">
        <v>1094400</v>
      </c>
      <c r="M84" s="10">
        <v>0</v>
      </c>
      <c r="N84" s="6" t="s">
        <v>271</v>
      </c>
      <c r="O84" s="11">
        <v>0</v>
      </c>
      <c r="P84" s="11"/>
      <c r="Q84" s="11"/>
      <c r="R84" s="11"/>
      <c r="S84" s="11"/>
      <c r="T84" s="11"/>
      <c r="U84" s="11"/>
      <c r="V84" s="11">
        <v>1</v>
      </c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>
        <v>0</v>
      </c>
      <c r="AJ84" s="11"/>
      <c r="AK84" s="11"/>
      <c r="AL84" s="11"/>
      <c r="AM84" s="10">
        <v>1</v>
      </c>
      <c r="AN84" s="10">
        <v>0</v>
      </c>
      <c r="AO84" s="11">
        <v>0</v>
      </c>
      <c r="AP84" s="11">
        <v>0</v>
      </c>
      <c r="AQ84" s="11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1083155.3580744993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2">
        <v>1083155.3580744993</v>
      </c>
      <c r="BQ84" s="12">
        <v>0</v>
      </c>
      <c r="BR84" s="12">
        <v>0</v>
      </c>
      <c r="BS84" s="12">
        <v>0</v>
      </c>
      <c r="BT84" s="12">
        <v>0</v>
      </c>
      <c r="BU84" s="12">
        <f t="shared" si="2"/>
        <v>1083155.3580744993</v>
      </c>
    </row>
    <row r="85" spans="1:73" x14ac:dyDescent="0.25">
      <c r="A85" s="6" t="s">
        <v>40</v>
      </c>
      <c r="B85" s="6" t="s">
        <v>18</v>
      </c>
      <c r="C85" s="18" t="s">
        <v>240</v>
      </c>
      <c r="D85" s="7" t="s">
        <v>241</v>
      </c>
      <c r="E85" s="7" t="s">
        <v>21</v>
      </c>
      <c r="F85" s="7" t="s">
        <v>242</v>
      </c>
      <c r="G85" s="7" t="s">
        <v>23</v>
      </c>
      <c r="H85" s="7" t="s">
        <v>256</v>
      </c>
      <c r="I85" s="6" t="s">
        <v>76</v>
      </c>
      <c r="J85" s="7" t="s">
        <v>244</v>
      </c>
      <c r="K85" s="6" t="s">
        <v>245</v>
      </c>
      <c r="L85" s="9">
        <v>76800</v>
      </c>
      <c r="M85" s="10">
        <v>0</v>
      </c>
      <c r="N85" s="6" t="s">
        <v>271</v>
      </c>
      <c r="O85" s="11">
        <v>0</v>
      </c>
      <c r="P85" s="11"/>
      <c r="Q85" s="11"/>
      <c r="R85" s="11"/>
      <c r="S85" s="11"/>
      <c r="T85" s="11"/>
      <c r="U85" s="11"/>
      <c r="V85" s="11">
        <v>1</v>
      </c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>
        <v>0</v>
      </c>
      <c r="AJ85" s="11"/>
      <c r="AK85" s="11"/>
      <c r="AL85" s="11"/>
      <c r="AM85" s="10">
        <v>1</v>
      </c>
      <c r="AN85" s="10">
        <v>0</v>
      </c>
      <c r="AO85" s="11">
        <v>0</v>
      </c>
      <c r="AP85" s="11">
        <v>0</v>
      </c>
      <c r="AQ85" s="11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76010.902321017493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2">
        <v>76010.902321017493</v>
      </c>
      <c r="BQ85" s="12">
        <v>0</v>
      </c>
      <c r="BR85" s="12">
        <v>0</v>
      </c>
      <c r="BS85" s="12">
        <v>0</v>
      </c>
      <c r="BT85" s="12">
        <v>0</v>
      </c>
      <c r="BU85" s="12">
        <f t="shared" si="2"/>
        <v>76010.902321017493</v>
      </c>
    </row>
    <row r="86" spans="1:73" x14ac:dyDescent="0.25">
      <c r="A86" s="6" t="s">
        <v>42</v>
      </c>
      <c r="B86" s="6" t="s">
        <v>18</v>
      </c>
      <c r="C86" s="18" t="s">
        <v>240</v>
      </c>
      <c r="D86" s="7" t="s">
        <v>241</v>
      </c>
      <c r="E86" s="7" t="s">
        <v>21</v>
      </c>
      <c r="F86" s="7" t="s">
        <v>242</v>
      </c>
      <c r="G86" s="7" t="s">
        <v>23</v>
      </c>
      <c r="H86" s="7" t="s">
        <v>260</v>
      </c>
      <c r="I86" s="6" t="s">
        <v>76</v>
      </c>
      <c r="J86" s="7" t="s">
        <v>244</v>
      </c>
      <c r="K86" s="6" t="s">
        <v>245</v>
      </c>
      <c r="L86" s="9">
        <v>435200.00000000006</v>
      </c>
      <c r="M86" s="10">
        <v>0</v>
      </c>
      <c r="N86" s="6" t="s">
        <v>271</v>
      </c>
      <c r="O86" s="11">
        <v>0</v>
      </c>
      <c r="P86" s="11"/>
      <c r="Q86" s="11"/>
      <c r="R86" s="11"/>
      <c r="S86" s="11"/>
      <c r="T86" s="11"/>
      <c r="U86" s="11"/>
      <c r="V86" s="11">
        <v>1</v>
      </c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>
        <v>0</v>
      </c>
      <c r="AJ86" s="11"/>
      <c r="AK86" s="11"/>
      <c r="AL86" s="11"/>
      <c r="AM86" s="10">
        <v>1</v>
      </c>
      <c r="AN86" s="10">
        <v>0</v>
      </c>
      <c r="AO86" s="11">
        <v>0</v>
      </c>
      <c r="AP86" s="11">
        <v>0</v>
      </c>
      <c r="AQ86" s="11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430728.44648576586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2">
        <v>430728.44648576586</v>
      </c>
      <c r="BQ86" s="12">
        <v>0</v>
      </c>
      <c r="BR86" s="12">
        <v>0</v>
      </c>
      <c r="BS86" s="12">
        <v>0</v>
      </c>
      <c r="BT86" s="12">
        <v>0</v>
      </c>
      <c r="BU86" s="12">
        <f t="shared" si="2"/>
        <v>430728.44648576586</v>
      </c>
    </row>
    <row r="87" spans="1:73" x14ac:dyDescent="0.25">
      <c r="A87" s="6" t="s">
        <v>38</v>
      </c>
      <c r="B87" s="6" t="s">
        <v>18</v>
      </c>
      <c r="C87" s="18" t="s">
        <v>240</v>
      </c>
      <c r="D87" s="7" t="s">
        <v>241</v>
      </c>
      <c r="E87" s="7" t="s">
        <v>21</v>
      </c>
      <c r="F87" s="7" t="s">
        <v>242</v>
      </c>
      <c r="G87" s="7" t="s">
        <v>23</v>
      </c>
      <c r="H87" s="7" t="s">
        <v>243</v>
      </c>
      <c r="I87" s="6" t="s">
        <v>76</v>
      </c>
      <c r="J87" s="7" t="s">
        <v>244</v>
      </c>
      <c r="K87" s="6" t="s">
        <v>245</v>
      </c>
      <c r="L87" s="9">
        <v>500000</v>
      </c>
      <c r="M87" s="10">
        <v>0</v>
      </c>
      <c r="N87" s="6" t="s">
        <v>272</v>
      </c>
      <c r="O87" s="11">
        <v>0</v>
      </c>
      <c r="P87" s="11"/>
      <c r="Q87" s="11"/>
      <c r="R87" s="11"/>
      <c r="S87" s="11"/>
      <c r="T87" s="11"/>
      <c r="U87" s="11"/>
      <c r="V87" s="11"/>
      <c r="W87" s="11">
        <v>1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>
        <v>0</v>
      </c>
      <c r="AJ87" s="11"/>
      <c r="AK87" s="11"/>
      <c r="AL87" s="11"/>
      <c r="AM87" s="10">
        <v>1</v>
      </c>
      <c r="AN87" s="10">
        <v>0</v>
      </c>
      <c r="AO87" s="11">
        <v>0</v>
      </c>
      <c r="AP87" s="11">
        <v>0</v>
      </c>
      <c r="AQ87" s="11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494862.64531912433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0</v>
      </c>
      <c r="BP87" s="12">
        <v>494862.64531912433</v>
      </c>
      <c r="BQ87" s="12">
        <v>0</v>
      </c>
      <c r="BR87" s="12">
        <v>0</v>
      </c>
      <c r="BS87" s="12">
        <v>0</v>
      </c>
      <c r="BT87" s="12">
        <v>0</v>
      </c>
      <c r="BU87" s="12">
        <f t="shared" si="2"/>
        <v>494862.64531912433</v>
      </c>
    </row>
    <row r="88" spans="1:73" x14ac:dyDescent="0.25">
      <c r="A88" s="6" t="s">
        <v>17</v>
      </c>
      <c r="B88" s="6" t="s">
        <v>18</v>
      </c>
      <c r="C88" s="18" t="s">
        <v>240</v>
      </c>
      <c r="D88" s="7" t="s">
        <v>241</v>
      </c>
      <c r="E88" s="7" t="s">
        <v>21</v>
      </c>
      <c r="F88" s="7" t="s">
        <v>242</v>
      </c>
      <c r="G88" s="7" t="s">
        <v>23</v>
      </c>
      <c r="H88" s="7" t="s">
        <v>254</v>
      </c>
      <c r="I88" s="6" t="s">
        <v>252</v>
      </c>
      <c r="J88" s="7" t="s">
        <v>244</v>
      </c>
      <c r="K88" s="6" t="s">
        <v>263</v>
      </c>
      <c r="L88" s="9">
        <v>6000</v>
      </c>
      <c r="M88" s="10">
        <v>6800</v>
      </c>
      <c r="N88" s="6" t="s">
        <v>263</v>
      </c>
      <c r="O88" s="11">
        <v>0</v>
      </c>
      <c r="P88" s="11"/>
      <c r="Q88" s="11"/>
      <c r="R88" s="11"/>
      <c r="S88" s="11"/>
      <c r="T88" s="11"/>
      <c r="U88" s="11"/>
      <c r="V88" s="11"/>
      <c r="W88" s="11">
        <v>1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>
        <v>1</v>
      </c>
      <c r="AJ88" s="11"/>
      <c r="AK88" s="11"/>
      <c r="AL88" s="11"/>
      <c r="AM88" s="10">
        <v>1</v>
      </c>
      <c r="AN88" s="10">
        <v>1</v>
      </c>
      <c r="AO88" s="11">
        <v>1</v>
      </c>
      <c r="AP88" s="11">
        <v>1</v>
      </c>
      <c r="AQ88" s="11">
        <v>1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5938.3517438294921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5938.3517438294921</v>
      </c>
      <c r="BM88" s="10">
        <v>0</v>
      </c>
      <c r="BN88" s="10">
        <v>0</v>
      </c>
      <c r="BO88" s="10">
        <v>0</v>
      </c>
      <c r="BP88" s="12">
        <v>5938.3517438294921</v>
      </c>
      <c r="BQ88" s="12">
        <v>5938.3517438294921</v>
      </c>
      <c r="BR88" s="12">
        <v>5938.3517438294921</v>
      </c>
      <c r="BS88" s="12">
        <v>5938.3517438294921</v>
      </c>
      <c r="BT88" s="12">
        <v>5938.3517438294921</v>
      </c>
      <c r="BU88" s="12">
        <f t="shared" si="2"/>
        <v>29691.758719147459</v>
      </c>
    </row>
    <row r="89" spans="1:73" x14ac:dyDescent="0.25">
      <c r="A89" s="6" t="s">
        <v>28</v>
      </c>
      <c r="B89" s="6" t="s">
        <v>18</v>
      </c>
      <c r="C89" s="18" t="s">
        <v>240</v>
      </c>
      <c r="D89" s="7" t="s">
        <v>241</v>
      </c>
      <c r="E89" s="7" t="s">
        <v>21</v>
      </c>
      <c r="F89" s="7" t="s">
        <v>242</v>
      </c>
      <c r="G89" s="7" t="s">
        <v>23</v>
      </c>
      <c r="H89" s="7" t="s">
        <v>247</v>
      </c>
      <c r="I89" s="6" t="s">
        <v>252</v>
      </c>
      <c r="J89" s="7" t="s">
        <v>244</v>
      </c>
      <c r="K89" s="6" t="s">
        <v>263</v>
      </c>
      <c r="L89" s="9">
        <v>6000</v>
      </c>
      <c r="M89" s="10">
        <v>6800</v>
      </c>
      <c r="N89" s="6" t="s">
        <v>263</v>
      </c>
      <c r="O89" s="11">
        <v>0</v>
      </c>
      <c r="P89" s="11"/>
      <c r="Q89" s="11"/>
      <c r="R89" s="11"/>
      <c r="S89" s="11"/>
      <c r="T89" s="11"/>
      <c r="U89" s="11"/>
      <c r="V89" s="11"/>
      <c r="W89" s="11">
        <v>14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>
        <v>15</v>
      </c>
      <c r="AJ89" s="11"/>
      <c r="AK89" s="11"/>
      <c r="AL89" s="11"/>
      <c r="AM89" s="10">
        <v>14</v>
      </c>
      <c r="AN89" s="10">
        <v>15</v>
      </c>
      <c r="AO89" s="11">
        <v>15.725888963455997</v>
      </c>
      <c r="AP89" s="11">
        <v>16.66705196614091</v>
      </c>
      <c r="AQ89" s="11">
        <v>17.664541692210509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83136.924413612884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89075.276157442378</v>
      </c>
      <c r="BM89" s="10">
        <v>0</v>
      </c>
      <c r="BN89" s="10">
        <v>0</v>
      </c>
      <c r="BO89" s="10">
        <v>0</v>
      </c>
      <c r="BP89" s="12">
        <v>83136.924413612884</v>
      </c>
      <c r="BQ89" s="12">
        <v>89075.276157442378</v>
      </c>
      <c r="BR89" s="12">
        <v>93385.860149407876</v>
      </c>
      <c r="BS89" s="12">
        <v>98974.817107629642</v>
      </c>
      <c r="BT89" s="12">
        <v>104898.26196188704</v>
      </c>
      <c r="BU89" s="12">
        <f t="shared" si="2"/>
        <v>469471.13978997979</v>
      </c>
    </row>
    <row r="90" spans="1:73" x14ac:dyDescent="0.25">
      <c r="A90" s="6" t="s">
        <v>28</v>
      </c>
      <c r="B90" s="6" t="s">
        <v>18</v>
      </c>
      <c r="C90" s="18" t="s">
        <v>240</v>
      </c>
      <c r="D90" s="7" t="s">
        <v>241</v>
      </c>
      <c r="E90" s="7" t="s">
        <v>21</v>
      </c>
      <c r="F90" s="7" t="s">
        <v>242</v>
      </c>
      <c r="G90" s="7" t="s">
        <v>23</v>
      </c>
      <c r="H90" s="7" t="s">
        <v>247</v>
      </c>
      <c r="I90" s="6" t="s">
        <v>76</v>
      </c>
      <c r="J90" s="7" t="s">
        <v>244</v>
      </c>
      <c r="K90" s="6" t="s">
        <v>263</v>
      </c>
      <c r="L90" s="9">
        <v>6000</v>
      </c>
      <c r="M90" s="10">
        <v>6800</v>
      </c>
      <c r="N90" s="6" t="s">
        <v>263</v>
      </c>
      <c r="O90" s="11">
        <v>0</v>
      </c>
      <c r="P90" s="11"/>
      <c r="Q90" s="11"/>
      <c r="R90" s="11"/>
      <c r="S90" s="11"/>
      <c r="T90" s="11"/>
      <c r="U90" s="11"/>
      <c r="V90" s="11"/>
      <c r="W90" s="11">
        <v>8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>
        <v>8</v>
      </c>
      <c r="AJ90" s="11"/>
      <c r="AK90" s="11"/>
      <c r="AL90" s="11"/>
      <c r="AM90" s="10">
        <v>8</v>
      </c>
      <c r="AN90" s="10">
        <v>8</v>
      </c>
      <c r="AO90" s="11">
        <v>9</v>
      </c>
      <c r="AP90" s="11">
        <v>10</v>
      </c>
      <c r="AQ90" s="11">
        <v>10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10">
        <v>47506.813950635937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47506.813950635937</v>
      </c>
      <c r="BM90" s="10">
        <v>0</v>
      </c>
      <c r="BN90" s="10">
        <v>0</v>
      </c>
      <c r="BO90" s="10">
        <v>0</v>
      </c>
      <c r="BP90" s="12">
        <v>47506.813950635937</v>
      </c>
      <c r="BQ90" s="12">
        <v>47506.813950635937</v>
      </c>
      <c r="BR90" s="12">
        <v>53445.165694465424</v>
      </c>
      <c r="BS90" s="12">
        <v>59383.517438294919</v>
      </c>
      <c r="BT90" s="12">
        <v>59383.517438294919</v>
      </c>
      <c r="BU90" s="12">
        <f t="shared" si="2"/>
        <v>267225.82847232715</v>
      </c>
    </row>
    <row r="91" spans="1:73" x14ac:dyDescent="0.25">
      <c r="A91" s="6" t="s">
        <v>30</v>
      </c>
      <c r="B91" s="6" t="s">
        <v>18</v>
      </c>
      <c r="C91" s="18" t="s">
        <v>240</v>
      </c>
      <c r="D91" s="7" t="s">
        <v>241</v>
      </c>
      <c r="E91" s="7" t="s">
        <v>21</v>
      </c>
      <c r="F91" s="7" t="s">
        <v>242</v>
      </c>
      <c r="G91" s="7" t="s">
        <v>23</v>
      </c>
      <c r="H91" s="7" t="s">
        <v>249</v>
      </c>
      <c r="I91" s="6" t="s">
        <v>252</v>
      </c>
      <c r="J91" s="7" t="s">
        <v>244</v>
      </c>
      <c r="K91" s="6" t="s">
        <v>263</v>
      </c>
      <c r="L91" s="9">
        <v>6000</v>
      </c>
      <c r="M91" s="10">
        <v>6800</v>
      </c>
      <c r="N91" s="6" t="s">
        <v>263</v>
      </c>
      <c r="O91" s="11">
        <v>0</v>
      </c>
      <c r="P91" s="11"/>
      <c r="Q91" s="11"/>
      <c r="R91" s="11"/>
      <c r="S91" s="11"/>
      <c r="T91" s="11"/>
      <c r="U91" s="11"/>
      <c r="V91" s="11"/>
      <c r="W91" s="11">
        <v>6</v>
      </c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>
        <v>6</v>
      </c>
      <c r="AJ91" s="11"/>
      <c r="AK91" s="11"/>
      <c r="AL91" s="11"/>
      <c r="AM91" s="10">
        <v>6</v>
      </c>
      <c r="AN91" s="10">
        <v>6</v>
      </c>
      <c r="AO91" s="11">
        <v>6.7396666986239993</v>
      </c>
      <c r="AP91" s="11">
        <v>7.1430222712032467</v>
      </c>
      <c r="AQ91" s="11">
        <v>7.5705178680902181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35630.110462976954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0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35630.110462976954</v>
      </c>
      <c r="BM91" s="10">
        <v>0</v>
      </c>
      <c r="BN91" s="10">
        <v>0</v>
      </c>
      <c r="BO91" s="10">
        <v>0</v>
      </c>
      <c r="BP91" s="12">
        <v>35630.110462976954</v>
      </c>
      <c r="BQ91" s="12">
        <v>35630.110462976954</v>
      </c>
      <c r="BR91" s="12">
        <v>40022.511492603378</v>
      </c>
      <c r="BS91" s="12">
        <v>42417.778760412701</v>
      </c>
      <c r="BT91" s="12">
        <v>44956.397983665876</v>
      </c>
      <c r="BU91" s="12">
        <f t="shared" si="2"/>
        <v>198656.90916263586</v>
      </c>
    </row>
    <row r="92" spans="1:73" x14ac:dyDescent="0.25">
      <c r="A92" s="6" t="s">
        <v>30</v>
      </c>
      <c r="B92" s="6" t="s">
        <v>18</v>
      </c>
      <c r="C92" s="18" t="s">
        <v>240</v>
      </c>
      <c r="D92" s="7" t="s">
        <v>241</v>
      </c>
      <c r="E92" s="7" t="s">
        <v>21</v>
      </c>
      <c r="F92" s="7" t="s">
        <v>242</v>
      </c>
      <c r="G92" s="7" t="s">
        <v>23</v>
      </c>
      <c r="H92" s="7" t="s">
        <v>249</v>
      </c>
      <c r="I92" s="6" t="s">
        <v>76</v>
      </c>
      <c r="J92" s="7" t="s">
        <v>244</v>
      </c>
      <c r="K92" s="6" t="s">
        <v>263</v>
      </c>
      <c r="L92" s="9">
        <v>6000</v>
      </c>
      <c r="M92" s="10">
        <v>6800</v>
      </c>
      <c r="N92" s="6" t="s">
        <v>263</v>
      </c>
      <c r="O92" s="11">
        <v>0</v>
      </c>
      <c r="P92" s="11"/>
      <c r="Q92" s="11"/>
      <c r="R92" s="11"/>
      <c r="S92" s="11"/>
      <c r="T92" s="11"/>
      <c r="U92" s="11"/>
      <c r="V92" s="11"/>
      <c r="W92" s="11">
        <v>2</v>
      </c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>
        <v>2</v>
      </c>
      <c r="AJ92" s="11"/>
      <c r="AK92" s="11"/>
      <c r="AL92" s="11"/>
      <c r="AM92" s="10">
        <v>2</v>
      </c>
      <c r="AN92" s="10">
        <v>2</v>
      </c>
      <c r="AO92" s="11">
        <v>2</v>
      </c>
      <c r="AP92" s="11">
        <v>2.3810074237344159</v>
      </c>
      <c r="AQ92" s="11">
        <v>2.5235059560300726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11876.703487658984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11876.703487658984</v>
      </c>
      <c r="BM92" s="10">
        <v>0</v>
      </c>
      <c r="BN92" s="10">
        <v>0</v>
      </c>
      <c r="BO92" s="10">
        <v>0</v>
      </c>
      <c r="BP92" s="12">
        <v>11876.703487658984</v>
      </c>
      <c r="BQ92" s="12">
        <v>11876.703487658984</v>
      </c>
      <c r="BR92" s="12">
        <v>11876.703487658984</v>
      </c>
      <c r="BS92" s="12">
        <v>14139.259586804234</v>
      </c>
      <c r="BT92" s="12">
        <v>14985.46599455529</v>
      </c>
      <c r="BU92" s="12">
        <f t="shared" si="2"/>
        <v>64754.83604433648</v>
      </c>
    </row>
    <row r="93" spans="1:73" x14ac:dyDescent="0.25">
      <c r="A93" s="6" t="s">
        <v>32</v>
      </c>
      <c r="B93" s="6" t="s">
        <v>18</v>
      </c>
      <c r="C93" s="18" t="s">
        <v>240</v>
      </c>
      <c r="D93" s="7" t="s">
        <v>241</v>
      </c>
      <c r="E93" s="7" t="s">
        <v>21</v>
      </c>
      <c r="F93" s="7" t="s">
        <v>242</v>
      </c>
      <c r="G93" s="7" t="s">
        <v>23</v>
      </c>
      <c r="H93" s="7" t="s">
        <v>250</v>
      </c>
      <c r="I93" s="6" t="s">
        <v>252</v>
      </c>
      <c r="J93" s="7" t="s">
        <v>244</v>
      </c>
      <c r="K93" s="6" t="s">
        <v>263</v>
      </c>
      <c r="L93" s="9">
        <v>6000</v>
      </c>
      <c r="M93" s="10">
        <v>6800</v>
      </c>
      <c r="N93" s="6" t="s">
        <v>263</v>
      </c>
      <c r="O93" s="11">
        <v>0</v>
      </c>
      <c r="P93" s="11"/>
      <c r="Q93" s="11"/>
      <c r="R93" s="11"/>
      <c r="S93" s="11"/>
      <c r="T93" s="11"/>
      <c r="U93" s="11"/>
      <c r="V93" s="11"/>
      <c r="W93" s="11">
        <v>2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>
        <v>2</v>
      </c>
      <c r="AJ93" s="11"/>
      <c r="AK93" s="11"/>
      <c r="AL93" s="11"/>
      <c r="AM93" s="10">
        <v>2</v>
      </c>
      <c r="AN93" s="10">
        <v>2</v>
      </c>
      <c r="AO93" s="11">
        <v>2</v>
      </c>
      <c r="AP93" s="11">
        <v>2.3810074237344159</v>
      </c>
      <c r="AQ93" s="11">
        <v>2.5235059560300726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10">
        <v>11876.703487658984</v>
      </c>
      <c r="BA93" s="10">
        <v>0</v>
      </c>
      <c r="BB93" s="10">
        <v>0</v>
      </c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10">
        <v>11876.703487658984</v>
      </c>
      <c r="BM93" s="10">
        <v>0</v>
      </c>
      <c r="BN93" s="10">
        <v>0</v>
      </c>
      <c r="BO93" s="10">
        <v>0</v>
      </c>
      <c r="BP93" s="12">
        <v>11876.703487658984</v>
      </c>
      <c r="BQ93" s="12">
        <v>11876.703487658984</v>
      </c>
      <c r="BR93" s="12">
        <v>11876.703487658984</v>
      </c>
      <c r="BS93" s="12">
        <v>14139.259586804234</v>
      </c>
      <c r="BT93" s="12">
        <v>14985.46599455529</v>
      </c>
      <c r="BU93" s="12">
        <f t="shared" si="2"/>
        <v>64754.83604433648</v>
      </c>
    </row>
    <row r="94" spans="1:73" x14ac:dyDescent="0.25">
      <c r="A94" s="6" t="s">
        <v>32</v>
      </c>
      <c r="B94" s="6" t="s">
        <v>18</v>
      </c>
      <c r="C94" s="18" t="s">
        <v>240</v>
      </c>
      <c r="D94" s="7" t="s">
        <v>241</v>
      </c>
      <c r="E94" s="7" t="s">
        <v>21</v>
      </c>
      <c r="F94" s="7" t="s">
        <v>242</v>
      </c>
      <c r="G94" s="7" t="s">
        <v>23</v>
      </c>
      <c r="H94" s="7" t="s">
        <v>250</v>
      </c>
      <c r="I94" s="6" t="s">
        <v>76</v>
      </c>
      <c r="J94" s="7" t="s">
        <v>244</v>
      </c>
      <c r="K94" s="6" t="s">
        <v>263</v>
      </c>
      <c r="L94" s="9">
        <v>6000</v>
      </c>
      <c r="M94" s="10">
        <v>6800</v>
      </c>
      <c r="N94" s="6" t="s">
        <v>263</v>
      </c>
      <c r="O94" s="11">
        <v>0</v>
      </c>
      <c r="P94" s="11"/>
      <c r="Q94" s="11"/>
      <c r="R94" s="11"/>
      <c r="S94" s="11"/>
      <c r="T94" s="11"/>
      <c r="U94" s="11"/>
      <c r="V94" s="11"/>
      <c r="W94" s="11">
        <v>1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>
        <v>1</v>
      </c>
      <c r="AJ94" s="11"/>
      <c r="AK94" s="11"/>
      <c r="AL94" s="11"/>
      <c r="AM94" s="10">
        <v>1</v>
      </c>
      <c r="AN94" s="10">
        <v>1</v>
      </c>
      <c r="AO94" s="11">
        <v>1</v>
      </c>
      <c r="AP94" s="11">
        <v>1</v>
      </c>
      <c r="AQ94" s="11">
        <v>1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5938.3517438294921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5938.3517438294921</v>
      </c>
      <c r="BM94" s="10">
        <v>0</v>
      </c>
      <c r="BN94" s="10">
        <v>0</v>
      </c>
      <c r="BO94" s="10">
        <v>0</v>
      </c>
      <c r="BP94" s="12">
        <v>5938.3517438294921</v>
      </c>
      <c r="BQ94" s="12">
        <v>5938.3517438294921</v>
      </c>
      <c r="BR94" s="12">
        <v>5938.3517438294921</v>
      </c>
      <c r="BS94" s="12">
        <v>5938.3517438294921</v>
      </c>
      <c r="BT94" s="12">
        <v>5938.3517438294921</v>
      </c>
      <c r="BU94" s="12">
        <f t="shared" si="2"/>
        <v>29691.758719147459</v>
      </c>
    </row>
    <row r="95" spans="1:73" x14ac:dyDescent="0.25">
      <c r="A95" s="6" t="s">
        <v>34</v>
      </c>
      <c r="B95" s="6" t="s">
        <v>18</v>
      </c>
      <c r="C95" s="18" t="s">
        <v>240</v>
      </c>
      <c r="D95" s="7" t="s">
        <v>241</v>
      </c>
      <c r="E95" s="7" t="s">
        <v>21</v>
      </c>
      <c r="F95" s="7" t="s">
        <v>242</v>
      </c>
      <c r="G95" s="7" t="s">
        <v>23</v>
      </c>
      <c r="H95" s="7" t="s">
        <v>251</v>
      </c>
      <c r="I95" s="6" t="s">
        <v>252</v>
      </c>
      <c r="J95" s="7" t="s">
        <v>244</v>
      </c>
      <c r="K95" s="6" t="s">
        <v>263</v>
      </c>
      <c r="L95" s="9">
        <v>6000</v>
      </c>
      <c r="M95" s="10">
        <v>6800</v>
      </c>
      <c r="N95" s="6" t="s">
        <v>263</v>
      </c>
      <c r="O95" s="11">
        <v>0</v>
      </c>
      <c r="P95" s="11"/>
      <c r="Q95" s="11"/>
      <c r="R95" s="11"/>
      <c r="S95" s="11"/>
      <c r="T95" s="11"/>
      <c r="U95" s="11"/>
      <c r="V95" s="11"/>
      <c r="W95" s="11">
        <v>13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>
        <v>14</v>
      </c>
      <c r="AJ95" s="11"/>
      <c r="AK95" s="11"/>
      <c r="AL95" s="11"/>
      <c r="AM95" s="10">
        <v>13</v>
      </c>
      <c r="AN95" s="10">
        <v>14</v>
      </c>
      <c r="AO95" s="11">
        <v>14.602611180351996</v>
      </c>
      <c r="AP95" s="11">
        <v>15.4765482542737</v>
      </c>
      <c r="AQ95" s="11">
        <v>16.40278871419547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77198.572669783389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83136.924413612884</v>
      </c>
      <c r="BM95" s="10">
        <v>0</v>
      </c>
      <c r="BN95" s="10">
        <v>0</v>
      </c>
      <c r="BO95" s="10">
        <v>0</v>
      </c>
      <c r="BP95" s="12">
        <v>77198.572669783389</v>
      </c>
      <c r="BQ95" s="12">
        <v>83136.924413612884</v>
      </c>
      <c r="BR95" s="12">
        <v>86715.441567307309</v>
      </c>
      <c r="BS95" s="12">
        <v>91905.187314227514</v>
      </c>
      <c r="BT95" s="12">
        <v>97405.528964609388</v>
      </c>
      <c r="BU95" s="12">
        <f t="shared" si="2"/>
        <v>436361.65492954047</v>
      </c>
    </row>
    <row r="96" spans="1:73" x14ac:dyDescent="0.25">
      <c r="A96" s="6" t="s">
        <v>34</v>
      </c>
      <c r="B96" s="6" t="s">
        <v>18</v>
      </c>
      <c r="C96" s="18" t="s">
        <v>240</v>
      </c>
      <c r="D96" s="7" t="s">
        <v>241</v>
      </c>
      <c r="E96" s="7" t="s">
        <v>21</v>
      </c>
      <c r="F96" s="7" t="s">
        <v>242</v>
      </c>
      <c r="G96" s="7" t="s">
        <v>23</v>
      </c>
      <c r="H96" s="7" t="s">
        <v>251</v>
      </c>
      <c r="I96" s="6" t="s">
        <v>76</v>
      </c>
      <c r="J96" s="7" t="s">
        <v>244</v>
      </c>
      <c r="K96" s="6" t="s">
        <v>263</v>
      </c>
      <c r="L96" s="9">
        <v>6000</v>
      </c>
      <c r="M96" s="10">
        <v>6800</v>
      </c>
      <c r="N96" s="6" t="s">
        <v>263</v>
      </c>
      <c r="O96" s="11">
        <v>0</v>
      </c>
      <c r="P96" s="11"/>
      <c r="Q96" s="11"/>
      <c r="R96" s="11"/>
      <c r="S96" s="11"/>
      <c r="T96" s="11"/>
      <c r="U96" s="11"/>
      <c r="V96" s="11"/>
      <c r="W96" s="11">
        <v>6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>
        <v>6</v>
      </c>
      <c r="AJ96" s="11"/>
      <c r="AK96" s="11"/>
      <c r="AL96" s="11"/>
      <c r="AM96" s="10">
        <v>6</v>
      </c>
      <c r="AN96" s="10">
        <v>6</v>
      </c>
      <c r="AO96" s="11">
        <v>6.7396666986239993</v>
      </c>
      <c r="AP96" s="11">
        <v>7.1430222712032467</v>
      </c>
      <c r="AQ96" s="11">
        <v>7.5705178680902181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35630.110462976954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35630.110462976954</v>
      </c>
      <c r="BM96" s="10">
        <v>0</v>
      </c>
      <c r="BN96" s="10">
        <v>0</v>
      </c>
      <c r="BO96" s="10">
        <v>0</v>
      </c>
      <c r="BP96" s="12">
        <v>35630.110462976954</v>
      </c>
      <c r="BQ96" s="12">
        <v>35630.110462976954</v>
      </c>
      <c r="BR96" s="12">
        <v>40022.511492603378</v>
      </c>
      <c r="BS96" s="12">
        <v>42417.778760412701</v>
      </c>
      <c r="BT96" s="12">
        <v>44956.397983665876</v>
      </c>
      <c r="BU96" s="12">
        <f t="shared" si="2"/>
        <v>198656.90916263586</v>
      </c>
    </row>
    <row r="97" spans="1:73" x14ac:dyDescent="0.25">
      <c r="A97" s="6" t="s">
        <v>38</v>
      </c>
      <c r="B97" s="6" t="s">
        <v>18</v>
      </c>
      <c r="C97" s="18" t="s">
        <v>240</v>
      </c>
      <c r="D97" s="7" t="s">
        <v>241</v>
      </c>
      <c r="E97" s="7" t="s">
        <v>21</v>
      </c>
      <c r="F97" s="7" t="s">
        <v>242</v>
      </c>
      <c r="G97" s="7" t="s">
        <v>23</v>
      </c>
      <c r="H97" s="7" t="s">
        <v>243</v>
      </c>
      <c r="I97" s="6" t="s">
        <v>252</v>
      </c>
      <c r="J97" s="7" t="s">
        <v>244</v>
      </c>
      <c r="K97" s="6" t="s">
        <v>263</v>
      </c>
      <c r="L97" s="9">
        <v>6000</v>
      </c>
      <c r="M97" s="10">
        <v>6800</v>
      </c>
      <c r="N97" s="6" t="s">
        <v>263</v>
      </c>
      <c r="O97" s="11">
        <v>0</v>
      </c>
      <c r="P97" s="11"/>
      <c r="Q97" s="11"/>
      <c r="R97" s="11"/>
      <c r="S97" s="11"/>
      <c r="T97" s="11"/>
      <c r="U97" s="11"/>
      <c r="V97" s="11"/>
      <c r="W97" s="11">
        <v>5</v>
      </c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>
        <v>6</v>
      </c>
      <c r="AJ97" s="11"/>
      <c r="AK97" s="11"/>
      <c r="AL97" s="11"/>
      <c r="AM97" s="10">
        <v>5</v>
      </c>
      <c r="AN97" s="10">
        <v>6</v>
      </c>
      <c r="AO97" s="11">
        <v>5.6163889155199991</v>
      </c>
      <c r="AP97" s="11">
        <v>5.9525185593360392</v>
      </c>
      <c r="AQ97" s="11">
        <v>6.3087648900751825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29691.758719147459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35630.110462976954</v>
      </c>
      <c r="BM97" s="10">
        <v>0</v>
      </c>
      <c r="BN97" s="10">
        <v>0</v>
      </c>
      <c r="BO97" s="10">
        <v>0</v>
      </c>
      <c r="BP97" s="12">
        <v>29691.758719147459</v>
      </c>
      <c r="BQ97" s="12">
        <v>35630.110462976954</v>
      </c>
      <c r="BR97" s="12">
        <v>33352.092910502812</v>
      </c>
      <c r="BS97" s="12">
        <v>35348.14896701058</v>
      </c>
      <c r="BT97" s="12">
        <v>37463.664986388234</v>
      </c>
      <c r="BU97" s="12">
        <f t="shared" si="2"/>
        <v>171485.77604602603</v>
      </c>
    </row>
    <row r="98" spans="1:73" x14ac:dyDescent="0.25">
      <c r="A98" s="6" t="s">
        <v>38</v>
      </c>
      <c r="B98" s="6" t="s">
        <v>18</v>
      </c>
      <c r="C98" s="18" t="s">
        <v>240</v>
      </c>
      <c r="D98" s="7" t="s">
        <v>241</v>
      </c>
      <c r="E98" s="7" t="s">
        <v>21</v>
      </c>
      <c r="F98" s="7" t="s">
        <v>242</v>
      </c>
      <c r="G98" s="7" t="s">
        <v>23</v>
      </c>
      <c r="H98" s="7" t="s">
        <v>243</v>
      </c>
      <c r="I98" s="6" t="s">
        <v>76</v>
      </c>
      <c r="J98" s="7" t="s">
        <v>244</v>
      </c>
      <c r="K98" s="6" t="s">
        <v>263</v>
      </c>
      <c r="L98" s="9">
        <v>6000</v>
      </c>
      <c r="M98" s="10">
        <v>6800</v>
      </c>
      <c r="N98" s="6" t="s">
        <v>263</v>
      </c>
      <c r="O98" s="11">
        <v>0</v>
      </c>
      <c r="P98" s="11"/>
      <c r="Q98" s="11"/>
      <c r="R98" s="11"/>
      <c r="S98" s="11"/>
      <c r="T98" s="11"/>
      <c r="U98" s="11"/>
      <c r="V98" s="11"/>
      <c r="W98" s="11">
        <v>3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>
        <v>3</v>
      </c>
      <c r="AJ98" s="11"/>
      <c r="AK98" s="11"/>
      <c r="AL98" s="11"/>
      <c r="AM98" s="10">
        <v>3</v>
      </c>
      <c r="AN98" s="10">
        <v>3</v>
      </c>
      <c r="AO98" s="11">
        <v>3</v>
      </c>
      <c r="AP98" s="11">
        <v>3.5715111356016234</v>
      </c>
      <c r="AQ98" s="11">
        <v>3.785258934045109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17815.055231488477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17815.055231488477</v>
      </c>
      <c r="BM98" s="10">
        <v>0</v>
      </c>
      <c r="BN98" s="10">
        <v>0</v>
      </c>
      <c r="BO98" s="10">
        <v>0</v>
      </c>
      <c r="BP98" s="12">
        <v>17815.055231488477</v>
      </c>
      <c r="BQ98" s="12">
        <v>17815.055231488477</v>
      </c>
      <c r="BR98" s="12">
        <v>17815.055231488477</v>
      </c>
      <c r="BS98" s="12">
        <v>21208.88938020635</v>
      </c>
      <c r="BT98" s="12">
        <v>22478.198991832938</v>
      </c>
      <c r="BU98" s="12">
        <f t="shared" si="2"/>
        <v>97132.254066504713</v>
      </c>
    </row>
    <row r="99" spans="1:73" x14ac:dyDescent="0.25">
      <c r="A99" s="6" t="s">
        <v>96</v>
      </c>
      <c r="B99" s="6" t="s">
        <v>18</v>
      </c>
      <c r="C99" s="18" t="s">
        <v>240</v>
      </c>
      <c r="D99" s="7" t="s">
        <v>241</v>
      </c>
      <c r="E99" s="7" t="s">
        <v>21</v>
      </c>
      <c r="F99" s="7" t="s">
        <v>242</v>
      </c>
      <c r="G99" s="7" t="s">
        <v>23</v>
      </c>
      <c r="H99" s="7" t="s">
        <v>262</v>
      </c>
      <c r="I99" s="6" t="s">
        <v>252</v>
      </c>
      <c r="J99" s="7" t="s">
        <v>244</v>
      </c>
      <c r="K99" s="6" t="s">
        <v>263</v>
      </c>
      <c r="L99" s="9">
        <v>6000</v>
      </c>
      <c r="M99" s="10">
        <v>6800</v>
      </c>
      <c r="N99" s="6" t="s">
        <v>263</v>
      </c>
      <c r="O99" s="11">
        <v>0</v>
      </c>
      <c r="P99" s="11"/>
      <c r="Q99" s="11"/>
      <c r="R99" s="11"/>
      <c r="S99" s="11"/>
      <c r="T99" s="11"/>
      <c r="U99" s="11"/>
      <c r="V99" s="11"/>
      <c r="W99" s="11">
        <v>1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>
        <v>1.0598479999999999</v>
      </c>
      <c r="AJ99" s="11"/>
      <c r="AK99" s="11"/>
      <c r="AL99" s="11"/>
      <c r="AM99" s="10">
        <v>1</v>
      </c>
      <c r="AN99" s="10">
        <v>1.0598479999999999</v>
      </c>
      <c r="AO99" s="11">
        <v>1</v>
      </c>
      <c r="AP99" s="11">
        <v>1</v>
      </c>
      <c r="AQ99" s="11">
        <v>1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5938.3517438294921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6293.7502189941988</v>
      </c>
      <c r="BM99" s="10">
        <v>0</v>
      </c>
      <c r="BN99" s="10">
        <v>0</v>
      </c>
      <c r="BO99" s="10">
        <v>0</v>
      </c>
      <c r="BP99" s="12">
        <v>5938.3517438294921</v>
      </c>
      <c r="BQ99" s="12">
        <v>6293.7502189941988</v>
      </c>
      <c r="BR99" s="12">
        <v>5938.3517438294921</v>
      </c>
      <c r="BS99" s="12">
        <v>5938.3517438294921</v>
      </c>
      <c r="BT99" s="12">
        <v>5938.3517438294921</v>
      </c>
      <c r="BU99" s="12">
        <f t="shared" si="2"/>
        <v>30047.157194312163</v>
      </c>
    </row>
    <row r="100" spans="1:73" x14ac:dyDescent="0.25">
      <c r="A100" s="6" t="s">
        <v>40</v>
      </c>
      <c r="B100" s="6" t="s">
        <v>18</v>
      </c>
      <c r="C100" s="18" t="s">
        <v>240</v>
      </c>
      <c r="D100" s="7" t="s">
        <v>241</v>
      </c>
      <c r="E100" s="7" t="s">
        <v>21</v>
      </c>
      <c r="F100" s="7" t="s">
        <v>242</v>
      </c>
      <c r="G100" s="7" t="s">
        <v>23</v>
      </c>
      <c r="H100" s="7" t="s">
        <v>256</v>
      </c>
      <c r="I100" s="6" t="s">
        <v>252</v>
      </c>
      <c r="J100" s="7" t="s">
        <v>244</v>
      </c>
      <c r="K100" s="6" t="s">
        <v>263</v>
      </c>
      <c r="L100" s="9">
        <v>6000</v>
      </c>
      <c r="M100" s="10">
        <v>6800</v>
      </c>
      <c r="N100" s="6" t="s">
        <v>263</v>
      </c>
      <c r="O100" s="11">
        <v>0</v>
      </c>
      <c r="P100" s="11"/>
      <c r="Q100" s="11"/>
      <c r="R100" s="11"/>
      <c r="S100" s="11"/>
      <c r="T100" s="11"/>
      <c r="U100" s="11"/>
      <c r="V100" s="11"/>
      <c r="W100" s="11">
        <v>7</v>
      </c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>
        <v>7.4189359999999995</v>
      </c>
      <c r="AJ100" s="11"/>
      <c r="AK100" s="11"/>
      <c r="AL100" s="11"/>
      <c r="AM100" s="10">
        <v>7</v>
      </c>
      <c r="AN100" s="10">
        <v>7.4189359999999995</v>
      </c>
      <c r="AO100" s="11">
        <v>7.8629444817279985</v>
      </c>
      <c r="AP100" s="11">
        <v>8.3335259830704551</v>
      </c>
      <c r="AQ100" s="11">
        <v>8</v>
      </c>
      <c r="AR100" s="10">
        <v>0</v>
      </c>
      <c r="AS100" s="10">
        <v>0</v>
      </c>
      <c r="AT100" s="10">
        <v>0</v>
      </c>
      <c r="AU100" s="10">
        <v>0</v>
      </c>
      <c r="AV100" s="10">
        <v>0</v>
      </c>
      <c r="AW100" s="10">
        <v>0</v>
      </c>
      <c r="AX100" s="10">
        <v>0</v>
      </c>
      <c r="AY100" s="10">
        <v>0</v>
      </c>
      <c r="AZ100" s="10">
        <v>41568.462206806442</v>
      </c>
      <c r="BA100" s="10">
        <v>0</v>
      </c>
      <c r="BB100" s="10">
        <v>0</v>
      </c>
      <c r="BC100" s="10">
        <v>0</v>
      </c>
      <c r="BD100" s="10">
        <v>0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44056.251532959388</v>
      </c>
      <c r="BM100" s="10">
        <v>0</v>
      </c>
      <c r="BN100" s="10">
        <v>0</v>
      </c>
      <c r="BO100" s="10">
        <v>0</v>
      </c>
      <c r="BP100" s="12">
        <v>41568.462206806442</v>
      </c>
      <c r="BQ100" s="12">
        <v>44056.251532959388</v>
      </c>
      <c r="BR100" s="12">
        <v>46692.930074703938</v>
      </c>
      <c r="BS100" s="12">
        <v>49487.408553814821</v>
      </c>
      <c r="BT100" s="12">
        <v>47506.813950635937</v>
      </c>
      <c r="BU100" s="12">
        <f t="shared" si="2"/>
        <v>229311.86631892054</v>
      </c>
    </row>
    <row r="101" spans="1:73" x14ac:dyDescent="0.25">
      <c r="A101" s="6" t="s">
        <v>40</v>
      </c>
      <c r="B101" s="6" t="s">
        <v>18</v>
      </c>
      <c r="C101" s="18" t="s">
        <v>240</v>
      </c>
      <c r="D101" s="7" t="s">
        <v>241</v>
      </c>
      <c r="E101" s="7" t="s">
        <v>21</v>
      </c>
      <c r="F101" s="7" t="s">
        <v>242</v>
      </c>
      <c r="G101" s="7" t="s">
        <v>23</v>
      </c>
      <c r="H101" s="7" t="s">
        <v>256</v>
      </c>
      <c r="I101" s="6" t="s">
        <v>76</v>
      </c>
      <c r="J101" s="7" t="s">
        <v>244</v>
      </c>
      <c r="K101" s="6" t="s">
        <v>263</v>
      </c>
      <c r="L101" s="9">
        <v>6000</v>
      </c>
      <c r="M101" s="10">
        <v>6800</v>
      </c>
      <c r="N101" s="6" t="s">
        <v>263</v>
      </c>
      <c r="O101" s="11">
        <v>0</v>
      </c>
      <c r="P101" s="11"/>
      <c r="Q101" s="11"/>
      <c r="R101" s="11"/>
      <c r="S101" s="11"/>
      <c r="T101" s="11"/>
      <c r="U101" s="11"/>
      <c r="V101" s="11"/>
      <c r="W101" s="11">
        <v>8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>
        <v>8.4787839999999992</v>
      </c>
      <c r="AJ101" s="11"/>
      <c r="AK101" s="11"/>
      <c r="AL101" s="11"/>
      <c r="AM101" s="10">
        <v>8</v>
      </c>
      <c r="AN101" s="10">
        <v>8.4787839999999992</v>
      </c>
      <c r="AO101" s="11">
        <v>9</v>
      </c>
      <c r="AP101" s="11">
        <v>10</v>
      </c>
      <c r="AQ101" s="11">
        <v>7</v>
      </c>
      <c r="AR101" s="10">
        <v>0</v>
      </c>
      <c r="AS101" s="10">
        <v>0</v>
      </c>
      <c r="AT101" s="10">
        <v>0</v>
      </c>
      <c r="AU101" s="10">
        <v>0</v>
      </c>
      <c r="AV101" s="10">
        <v>0</v>
      </c>
      <c r="AW101" s="10">
        <v>0</v>
      </c>
      <c r="AX101" s="10">
        <v>0</v>
      </c>
      <c r="AY101" s="10">
        <v>0</v>
      </c>
      <c r="AZ101" s="10">
        <v>47506.813950635937</v>
      </c>
      <c r="BA101" s="10">
        <v>0</v>
      </c>
      <c r="BB101" s="10">
        <v>0</v>
      </c>
      <c r="BC101" s="10">
        <v>0</v>
      </c>
      <c r="BD101" s="10">
        <v>0</v>
      </c>
      <c r="BE101" s="10">
        <v>0</v>
      </c>
      <c r="BF101" s="10">
        <v>0</v>
      </c>
      <c r="BG101" s="10">
        <v>0</v>
      </c>
      <c r="BH101" s="10">
        <v>0</v>
      </c>
      <c r="BI101" s="10">
        <v>0</v>
      </c>
      <c r="BJ101" s="10">
        <v>0</v>
      </c>
      <c r="BK101" s="10">
        <v>0</v>
      </c>
      <c r="BL101" s="10">
        <v>50350.00175195359</v>
      </c>
      <c r="BM101" s="10">
        <v>0</v>
      </c>
      <c r="BN101" s="10">
        <v>0</v>
      </c>
      <c r="BO101" s="10">
        <v>0</v>
      </c>
      <c r="BP101" s="12">
        <v>47506.813950635937</v>
      </c>
      <c r="BQ101" s="12">
        <v>50350.00175195359</v>
      </c>
      <c r="BR101" s="12">
        <v>53445.165694465424</v>
      </c>
      <c r="BS101" s="12">
        <v>59383.517438294919</v>
      </c>
      <c r="BT101" s="12">
        <v>41568.462206806442</v>
      </c>
      <c r="BU101" s="12">
        <f t="shared" si="2"/>
        <v>252253.9610421563</v>
      </c>
    </row>
    <row r="102" spans="1:73" x14ac:dyDescent="0.25">
      <c r="A102" s="6" t="s">
        <v>42</v>
      </c>
      <c r="B102" s="6" t="s">
        <v>18</v>
      </c>
      <c r="C102" s="18" t="s">
        <v>240</v>
      </c>
      <c r="D102" s="7" t="s">
        <v>241</v>
      </c>
      <c r="E102" s="7" t="s">
        <v>21</v>
      </c>
      <c r="F102" s="7" t="s">
        <v>242</v>
      </c>
      <c r="G102" s="7" t="s">
        <v>23</v>
      </c>
      <c r="H102" s="7" t="s">
        <v>260</v>
      </c>
      <c r="I102" s="6" t="s">
        <v>252</v>
      </c>
      <c r="J102" s="7" t="s">
        <v>244</v>
      </c>
      <c r="K102" s="6" t="s">
        <v>263</v>
      </c>
      <c r="L102" s="9">
        <v>6000</v>
      </c>
      <c r="M102" s="10">
        <v>6800</v>
      </c>
      <c r="N102" s="6" t="s">
        <v>263</v>
      </c>
      <c r="O102" s="11">
        <v>0</v>
      </c>
      <c r="P102" s="11"/>
      <c r="Q102" s="11"/>
      <c r="R102" s="11"/>
      <c r="S102" s="11"/>
      <c r="T102" s="11"/>
      <c r="U102" s="11"/>
      <c r="V102" s="11"/>
      <c r="W102" s="11">
        <v>1</v>
      </c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>
        <v>1.0598479999999999</v>
      </c>
      <c r="AJ102" s="11"/>
      <c r="AK102" s="11"/>
      <c r="AL102" s="11"/>
      <c r="AM102" s="10">
        <v>1</v>
      </c>
      <c r="AN102" s="10">
        <v>1.0598479999999999</v>
      </c>
      <c r="AO102" s="11">
        <v>1</v>
      </c>
      <c r="AP102" s="11">
        <v>1</v>
      </c>
      <c r="AQ102" s="11">
        <v>1</v>
      </c>
      <c r="AR102" s="10">
        <v>0</v>
      </c>
      <c r="AS102" s="10">
        <v>0</v>
      </c>
      <c r="AT102" s="10">
        <v>0</v>
      </c>
      <c r="AU102" s="10">
        <v>0</v>
      </c>
      <c r="AV102" s="10">
        <v>0</v>
      </c>
      <c r="AW102" s="10">
        <v>0</v>
      </c>
      <c r="AX102" s="10">
        <v>0</v>
      </c>
      <c r="AY102" s="10">
        <v>0</v>
      </c>
      <c r="AZ102" s="10">
        <v>5938.3517438294921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6293.7502189941988</v>
      </c>
      <c r="BM102" s="10">
        <v>0</v>
      </c>
      <c r="BN102" s="10">
        <v>0</v>
      </c>
      <c r="BO102" s="10">
        <v>0</v>
      </c>
      <c r="BP102" s="12">
        <v>5938.3517438294921</v>
      </c>
      <c r="BQ102" s="12">
        <v>6293.7502189941988</v>
      </c>
      <c r="BR102" s="12">
        <v>5938.3517438294921</v>
      </c>
      <c r="BS102" s="12">
        <v>5938.3517438294921</v>
      </c>
      <c r="BT102" s="12">
        <v>5938.3517438294921</v>
      </c>
      <c r="BU102" s="12">
        <f t="shared" si="2"/>
        <v>30047.157194312163</v>
      </c>
    </row>
    <row r="103" spans="1:73" x14ac:dyDescent="0.25">
      <c r="A103" s="6" t="s">
        <v>42</v>
      </c>
      <c r="B103" s="6" t="s">
        <v>18</v>
      </c>
      <c r="C103" s="18" t="s">
        <v>240</v>
      </c>
      <c r="D103" s="7" t="s">
        <v>241</v>
      </c>
      <c r="E103" s="7" t="s">
        <v>21</v>
      </c>
      <c r="F103" s="7" t="s">
        <v>242</v>
      </c>
      <c r="G103" s="7" t="s">
        <v>23</v>
      </c>
      <c r="H103" s="7" t="s">
        <v>260</v>
      </c>
      <c r="I103" s="6" t="s">
        <v>76</v>
      </c>
      <c r="J103" s="7" t="s">
        <v>244</v>
      </c>
      <c r="K103" s="6" t="s">
        <v>263</v>
      </c>
      <c r="L103" s="9">
        <v>6000</v>
      </c>
      <c r="M103" s="10">
        <v>6800</v>
      </c>
      <c r="N103" s="6" t="s">
        <v>263</v>
      </c>
      <c r="O103" s="11">
        <v>0</v>
      </c>
      <c r="P103" s="11"/>
      <c r="Q103" s="11"/>
      <c r="R103" s="11"/>
      <c r="S103" s="11"/>
      <c r="T103" s="11"/>
      <c r="U103" s="11"/>
      <c r="V103" s="11"/>
      <c r="W103" s="11">
        <v>2</v>
      </c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>
        <v>2.1196959999999998</v>
      </c>
      <c r="AJ103" s="11"/>
      <c r="AK103" s="11"/>
      <c r="AL103" s="11"/>
      <c r="AM103" s="10">
        <v>2</v>
      </c>
      <c r="AN103" s="10">
        <v>2.1196959999999998</v>
      </c>
      <c r="AO103" s="11">
        <v>2</v>
      </c>
      <c r="AP103" s="11">
        <v>2.3810074237344159</v>
      </c>
      <c r="AQ103" s="11">
        <v>2.5235059560300726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</v>
      </c>
      <c r="AY103" s="10">
        <v>0</v>
      </c>
      <c r="AZ103" s="10">
        <v>11876.703487658984</v>
      </c>
      <c r="BA103" s="10">
        <v>0</v>
      </c>
      <c r="BB103" s="10">
        <v>0</v>
      </c>
      <c r="BC103" s="10">
        <v>0</v>
      </c>
      <c r="BD103" s="10">
        <v>0</v>
      </c>
      <c r="BE103" s="10">
        <v>0</v>
      </c>
      <c r="BF103" s="10">
        <v>0</v>
      </c>
      <c r="BG103" s="10">
        <v>0</v>
      </c>
      <c r="BH103" s="10">
        <v>0</v>
      </c>
      <c r="BI103" s="10">
        <v>0</v>
      </c>
      <c r="BJ103" s="10">
        <v>0</v>
      </c>
      <c r="BK103" s="10">
        <v>0</v>
      </c>
      <c r="BL103" s="10">
        <v>12587.500437988398</v>
      </c>
      <c r="BM103" s="10">
        <v>0</v>
      </c>
      <c r="BN103" s="10">
        <v>0</v>
      </c>
      <c r="BO103" s="10">
        <v>0</v>
      </c>
      <c r="BP103" s="12">
        <v>11876.703487658984</v>
      </c>
      <c r="BQ103" s="12">
        <v>12587.500437988398</v>
      </c>
      <c r="BR103" s="12">
        <v>11876.703487658984</v>
      </c>
      <c r="BS103" s="12">
        <v>14139.259586804234</v>
      </c>
      <c r="BT103" s="12">
        <v>14985.46599455529</v>
      </c>
      <c r="BU103" s="12">
        <f t="shared" si="2"/>
        <v>65465.632994665888</v>
      </c>
    </row>
    <row r="104" spans="1:73" x14ac:dyDescent="0.25">
      <c r="A104" s="6" t="s">
        <v>17</v>
      </c>
      <c r="B104" s="6" t="s">
        <v>18</v>
      </c>
      <c r="C104" s="18" t="s">
        <v>240</v>
      </c>
      <c r="D104" s="7" t="s">
        <v>241</v>
      </c>
      <c r="E104" s="7" t="s">
        <v>21</v>
      </c>
      <c r="F104" s="7" t="s">
        <v>242</v>
      </c>
      <c r="G104" s="7" t="s">
        <v>23</v>
      </c>
      <c r="H104" s="7" t="s">
        <v>254</v>
      </c>
      <c r="I104" s="6" t="s">
        <v>76</v>
      </c>
      <c r="J104" s="7" t="s">
        <v>244</v>
      </c>
      <c r="K104" s="6" t="s">
        <v>273</v>
      </c>
      <c r="L104" s="9">
        <v>3029.318181818182</v>
      </c>
      <c r="M104" s="10">
        <v>5180</v>
      </c>
      <c r="N104" s="6" t="s">
        <v>273</v>
      </c>
      <c r="O104" s="11">
        <v>0</v>
      </c>
      <c r="P104" s="11"/>
      <c r="Q104" s="11"/>
      <c r="R104" s="11"/>
      <c r="S104" s="11"/>
      <c r="T104" s="11"/>
      <c r="U104" s="11"/>
      <c r="V104" s="11"/>
      <c r="W104" s="11">
        <v>22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>
        <v>23.316655999999998</v>
      </c>
      <c r="AJ104" s="11"/>
      <c r="AK104" s="11"/>
      <c r="AL104" s="11"/>
      <c r="AM104" s="10">
        <v>22</v>
      </c>
      <c r="AN104" s="10">
        <v>23.316655999999998</v>
      </c>
      <c r="AO104" s="11">
        <v>24.712111228287995</v>
      </c>
      <c r="AP104" s="11">
        <v>26.19108166107857</v>
      </c>
      <c r="AQ104" s="11">
        <v>32.680621201890609</v>
      </c>
      <c r="AR104" s="10">
        <v>0</v>
      </c>
      <c r="AS104" s="10">
        <v>0</v>
      </c>
      <c r="AT104" s="10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10">
        <v>65960.241994586075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69907.830557478068</v>
      </c>
      <c r="BM104" s="10">
        <v>0</v>
      </c>
      <c r="BN104" s="10">
        <v>0</v>
      </c>
      <c r="BO104" s="10">
        <v>0</v>
      </c>
      <c r="BP104" s="12">
        <v>65960.241994586075</v>
      </c>
      <c r="BQ104" s="12">
        <v>69907.830557478068</v>
      </c>
      <c r="BR104" s="12">
        <v>74091.674400682008</v>
      </c>
      <c r="BS104" s="12">
        <v>78525.912930214006</v>
      </c>
      <c r="BT104" s="12">
        <v>97982.803773186606</v>
      </c>
      <c r="BU104" s="12">
        <f t="shared" si="2"/>
        <v>386468.46365614678</v>
      </c>
    </row>
    <row r="105" spans="1:73" x14ac:dyDescent="0.25">
      <c r="A105" s="6" t="s">
        <v>28</v>
      </c>
      <c r="B105" s="6" t="s">
        <v>18</v>
      </c>
      <c r="C105" s="18" t="s">
        <v>240</v>
      </c>
      <c r="D105" s="7" t="s">
        <v>241</v>
      </c>
      <c r="E105" s="7" t="s">
        <v>21</v>
      </c>
      <c r="F105" s="7" t="s">
        <v>242</v>
      </c>
      <c r="G105" s="7" t="s">
        <v>23</v>
      </c>
      <c r="H105" s="7" t="s">
        <v>247</v>
      </c>
      <c r="I105" s="6" t="s">
        <v>76</v>
      </c>
      <c r="J105" s="7" t="s">
        <v>244</v>
      </c>
      <c r="K105" s="6" t="s">
        <v>273</v>
      </c>
      <c r="L105" s="9">
        <v>4500</v>
      </c>
      <c r="M105" s="10">
        <v>5180</v>
      </c>
      <c r="N105" s="6" t="s">
        <v>273</v>
      </c>
      <c r="O105" s="11">
        <v>0</v>
      </c>
      <c r="P105" s="11"/>
      <c r="Q105" s="11"/>
      <c r="R105" s="11"/>
      <c r="S105" s="11"/>
      <c r="T105" s="11"/>
      <c r="U105" s="11"/>
      <c r="V105" s="11"/>
      <c r="W105" s="11">
        <v>414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>
        <v>438.77707199999998</v>
      </c>
      <c r="AJ105" s="11"/>
      <c r="AK105" s="11"/>
      <c r="AL105" s="11"/>
      <c r="AM105" s="10">
        <v>414</v>
      </c>
      <c r="AN105" s="10">
        <v>438.77707199999998</v>
      </c>
      <c r="AO105" s="11">
        <v>465</v>
      </c>
      <c r="AP105" s="11">
        <v>492.86853671302407</v>
      </c>
      <c r="AQ105" s="11">
        <v>522.36573289822513</v>
      </c>
      <c r="AR105" s="10">
        <v>0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10">
        <v>1843858.2164590573</v>
      </c>
      <c r="BA105" s="10">
        <v>0</v>
      </c>
      <c r="BB105" s="10">
        <v>0</v>
      </c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1954209.4429976987</v>
      </c>
      <c r="BM105" s="10">
        <v>0</v>
      </c>
      <c r="BN105" s="10">
        <v>0</v>
      </c>
      <c r="BO105" s="10">
        <v>0</v>
      </c>
      <c r="BP105" s="12">
        <v>1843858.2164590573</v>
      </c>
      <c r="BQ105" s="12">
        <v>1954209.4429976987</v>
      </c>
      <c r="BR105" s="12">
        <v>2071000.1706605353</v>
      </c>
      <c r="BS105" s="12">
        <v>2195120.0508513572</v>
      </c>
      <c r="BT105" s="12">
        <v>2326493.5956547097</v>
      </c>
      <c r="BU105" s="12">
        <f t="shared" si="2"/>
        <v>10390681.476623358</v>
      </c>
    </row>
    <row r="106" spans="1:73" x14ac:dyDescent="0.25">
      <c r="A106" s="6" t="s">
        <v>30</v>
      </c>
      <c r="B106" s="6" t="s">
        <v>18</v>
      </c>
      <c r="C106" s="18" t="s">
        <v>240</v>
      </c>
      <c r="D106" s="7" t="s">
        <v>241</v>
      </c>
      <c r="E106" s="7" t="s">
        <v>21</v>
      </c>
      <c r="F106" s="7" t="s">
        <v>242</v>
      </c>
      <c r="G106" s="7" t="s">
        <v>23</v>
      </c>
      <c r="H106" s="7" t="s">
        <v>249</v>
      </c>
      <c r="I106" s="6" t="s">
        <v>76</v>
      </c>
      <c r="J106" s="7" t="s">
        <v>244</v>
      </c>
      <c r="K106" s="6" t="s">
        <v>273</v>
      </c>
      <c r="L106" s="9">
        <v>4500</v>
      </c>
      <c r="M106" s="10">
        <v>5180</v>
      </c>
      <c r="N106" s="6" t="s">
        <v>273</v>
      </c>
      <c r="O106" s="11">
        <v>0</v>
      </c>
      <c r="P106" s="11"/>
      <c r="Q106" s="11"/>
      <c r="R106" s="11"/>
      <c r="S106" s="11"/>
      <c r="T106" s="11"/>
      <c r="U106" s="11"/>
      <c r="V106" s="11"/>
      <c r="W106" s="11">
        <v>193</v>
      </c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>
        <v>204.05253543999999</v>
      </c>
      <c r="AJ106" s="11"/>
      <c r="AK106" s="11"/>
      <c r="AL106" s="11"/>
      <c r="AM106" s="10">
        <v>193</v>
      </c>
      <c r="AN106" s="10">
        <v>204.05253543999999</v>
      </c>
      <c r="AO106" s="11">
        <v>216.26467158101309</v>
      </c>
      <c r="AP106" s="11">
        <v>229.20767964579355</v>
      </c>
      <c r="AQ106" s="11">
        <v>242.92530085723496</v>
      </c>
      <c r="AR106" s="10">
        <v>0</v>
      </c>
      <c r="AS106" s="10">
        <v>0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10">
        <v>859576.41491931898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908801.79724721482</v>
      </c>
      <c r="BM106" s="10">
        <v>0</v>
      </c>
      <c r="BN106" s="10">
        <v>0</v>
      </c>
      <c r="BO106" s="10">
        <v>0</v>
      </c>
      <c r="BP106" s="12">
        <v>859576.41491931898</v>
      </c>
      <c r="BQ106" s="12">
        <v>908801.79724721482</v>
      </c>
      <c r="BR106" s="12">
        <v>963191.76720886619</v>
      </c>
      <c r="BS106" s="12">
        <v>1020836.8680927822</v>
      </c>
      <c r="BT106" s="12">
        <v>1081931.9129743988</v>
      </c>
      <c r="BU106" s="12">
        <f t="shared" si="2"/>
        <v>4834338.760442581</v>
      </c>
    </row>
    <row r="107" spans="1:73" x14ac:dyDescent="0.25">
      <c r="A107" s="6" t="s">
        <v>32</v>
      </c>
      <c r="B107" s="6" t="s">
        <v>18</v>
      </c>
      <c r="C107" s="18" t="s">
        <v>240</v>
      </c>
      <c r="D107" s="7" t="s">
        <v>241</v>
      </c>
      <c r="E107" s="7" t="s">
        <v>21</v>
      </c>
      <c r="F107" s="7" t="s">
        <v>242</v>
      </c>
      <c r="G107" s="7" t="s">
        <v>23</v>
      </c>
      <c r="H107" s="7" t="s">
        <v>250</v>
      </c>
      <c r="I107" s="6" t="s">
        <v>76</v>
      </c>
      <c r="J107" s="7" t="s">
        <v>244</v>
      </c>
      <c r="K107" s="6" t="s">
        <v>273</v>
      </c>
      <c r="L107" s="9">
        <v>4500</v>
      </c>
      <c r="M107" s="10">
        <v>5180</v>
      </c>
      <c r="N107" s="6" t="s">
        <v>273</v>
      </c>
      <c r="O107" s="11">
        <v>0</v>
      </c>
      <c r="P107" s="11"/>
      <c r="Q107" s="11"/>
      <c r="R107" s="11"/>
      <c r="S107" s="11"/>
      <c r="T107" s="11"/>
      <c r="U107" s="11"/>
      <c r="V107" s="11"/>
      <c r="W107" s="11">
        <v>44</v>
      </c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>
        <v>47.089046639999992</v>
      </c>
      <c r="AJ107" s="11"/>
      <c r="AK107" s="11"/>
      <c r="AL107" s="11"/>
      <c r="AM107" s="10">
        <v>44</v>
      </c>
      <c r="AN107" s="10">
        <v>47.089046639999992</v>
      </c>
      <c r="AO107" s="11">
        <v>49.907231903310709</v>
      </c>
      <c r="AP107" s="11">
        <v>52.894079918260047</v>
      </c>
      <c r="AQ107" s="11">
        <v>56.059684813208072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10">
        <v>195965.60754637324</v>
      </c>
      <c r="BA107" s="10">
        <v>0</v>
      </c>
      <c r="BB107" s="10">
        <v>0</v>
      </c>
      <c r="BC107" s="10">
        <v>0</v>
      </c>
      <c r="BD107" s="10">
        <v>0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209723.49167243417</v>
      </c>
      <c r="BM107" s="10">
        <v>0</v>
      </c>
      <c r="BN107" s="10">
        <v>0</v>
      </c>
      <c r="BO107" s="10">
        <v>0</v>
      </c>
      <c r="BP107" s="12">
        <v>195965.60754637324</v>
      </c>
      <c r="BQ107" s="12">
        <v>209723.49167243417</v>
      </c>
      <c r="BR107" s="12">
        <v>222275.023202046</v>
      </c>
      <c r="BS107" s="12">
        <v>235577.73879064203</v>
      </c>
      <c r="BT107" s="12">
        <v>249676.59530178437</v>
      </c>
      <c r="BU107" s="12">
        <f t="shared" si="2"/>
        <v>1113218.4565132798</v>
      </c>
    </row>
    <row r="108" spans="1:73" x14ac:dyDescent="0.25">
      <c r="A108" s="6" t="s">
        <v>34</v>
      </c>
      <c r="B108" s="6" t="s">
        <v>18</v>
      </c>
      <c r="C108" s="18" t="s">
        <v>240</v>
      </c>
      <c r="D108" s="7" t="s">
        <v>241</v>
      </c>
      <c r="E108" s="7" t="s">
        <v>21</v>
      </c>
      <c r="F108" s="7" t="s">
        <v>242</v>
      </c>
      <c r="G108" s="7" t="s">
        <v>23</v>
      </c>
      <c r="H108" s="7" t="s">
        <v>251</v>
      </c>
      <c r="I108" s="6" t="s">
        <v>76</v>
      </c>
      <c r="J108" s="7" t="s">
        <v>244</v>
      </c>
      <c r="K108" s="6" t="s">
        <v>273</v>
      </c>
      <c r="L108" s="9">
        <v>4500</v>
      </c>
      <c r="M108" s="10">
        <v>5180</v>
      </c>
      <c r="N108" s="6" t="s">
        <v>273</v>
      </c>
      <c r="O108" s="11">
        <v>0</v>
      </c>
      <c r="P108" s="11"/>
      <c r="Q108" s="11"/>
      <c r="R108" s="11"/>
      <c r="S108" s="11"/>
      <c r="T108" s="11"/>
      <c r="U108" s="11"/>
      <c r="V108" s="11"/>
      <c r="W108" s="11">
        <v>385</v>
      </c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>
        <v>408.04147999999998</v>
      </c>
      <c r="AJ108" s="11"/>
      <c r="AK108" s="11"/>
      <c r="AL108" s="11"/>
      <c r="AM108" s="10">
        <v>385</v>
      </c>
      <c r="AN108" s="10">
        <v>408.04147999999998</v>
      </c>
      <c r="AO108" s="11">
        <v>432</v>
      </c>
      <c r="AP108" s="11">
        <v>458.34392906887507</v>
      </c>
      <c r="AQ108" s="11">
        <v>485.77489653578908</v>
      </c>
      <c r="AR108" s="10">
        <v>0</v>
      </c>
      <c r="AS108" s="10">
        <v>0</v>
      </c>
      <c r="AT108" s="10">
        <v>0</v>
      </c>
      <c r="AU108" s="10">
        <v>0</v>
      </c>
      <c r="AV108" s="10">
        <v>0</v>
      </c>
      <c r="AW108" s="10">
        <v>0</v>
      </c>
      <c r="AX108" s="10">
        <v>0</v>
      </c>
      <c r="AY108" s="10">
        <v>0</v>
      </c>
      <c r="AZ108" s="10">
        <v>1714699.0660307659</v>
      </c>
      <c r="BA108" s="10">
        <v>0</v>
      </c>
      <c r="BB108" s="10">
        <v>0</v>
      </c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10">
        <v>1817320.3757345751</v>
      </c>
      <c r="BM108" s="10">
        <v>0</v>
      </c>
      <c r="BN108" s="10">
        <v>0</v>
      </c>
      <c r="BO108" s="10">
        <v>0</v>
      </c>
      <c r="BP108" s="12">
        <v>1714699.0660307659</v>
      </c>
      <c r="BQ108" s="12">
        <v>1817320.3757345751</v>
      </c>
      <c r="BR108" s="12">
        <v>1924025.9650007554</v>
      </c>
      <c r="BS108" s="12">
        <v>2041355.6028448616</v>
      </c>
      <c r="BT108" s="12">
        <v>2163526.6529639205</v>
      </c>
      <c r="BU108" s="12">
        <f t="shared" si="2"/>
        <v>9660927.662574878</v>
      </c>
    </row>
    <row r="109" spans="1:73" x14ac:dyDescent="0.25">
      <c r="A109" s="6" t="s">
        <v>38</v>
      </c>
      <c r="B109" s="6" t="s">
        <v>18</v>
      </c>
      <c r="C109" s="18" t="s">
        <v>240</v>
      </c>
      <c r="D109" s="7" t="s">
        <v>241</v>
      </c>
      <c r="E109" s="7" t="s">
        <v>21</v>
      </c>
      <c r="F109" s="7" t="s">
        <v>242</v>
      </c>
      <c r="G109" s="7" t="s">
        <v>23</v>
      </c>
      <c r="H109" s="7" t="s">
        <v>243</v>
      </c>
      <c r="I109" s="6" t="s">
        <v>76</v>
      </c>
      <c r="J109" s="7" t="s">
        <v>244</v>
      </c>
      <c r="K109" s="6" t="s">
        <v>273</v>
      </c>
      <c r="L109" s="9">
        <v>4500</v>
      </c>
      <c r="M109" s="10">
        <v>5180</v>
      </c>
      <c r="N109" s="6" t="s">
        <v>273</v>
      </c>
      <c r="O109" s="11">
        <v>0</v>
      </c>
      <c r="P109" s="11"/>
      <c r="Q109" s="11"/>
      <c r="R109" s="11"/>
      <c r="S109" s="11"/>
      <c r="T109" s="11"/>
      <c r="U109" s="11"/>
      <c r="V109" s="11"/>
      <c r="W109" s="11">
        <v>148</v>
      </c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>
        <v>156.85750399999998</v>
      </c>
      <c r="AJ109" s="11"/>
      <c r="AK109" s="11"/>
      <c r="AL109" s="11"/>
      <c r="AM109" s="10">
        <v>148</v>
      </c>
      <c r="AN109" s="10">
        <v>156.85750399999998</v>
      </c>
      <c r="AO109" s="11">
        <v>166.24511189939196</v>
      </c>
      <c r="AP109" s="11">
        <v>176.19454935634676</v>
      </c>
      <c r="AQ109" s="11">
        <v>186.73944074622537</v>
      </c>
      <c r="AR109" s="10">
        <v>0</v>
      </c>
      <c r="AS109" s="10">
        <v>0</v>
      </c>
      <c r="AT109" s="10">
        <v>0</v>
      </c>
      <c r="AU109" s="10">
        <v>0</v>
      </c>
      <c r="AV109" s="10">
        <v>0</v>
      </c>
      <c r="AW109" s="10">
        <v>0</v>
      </c>
      <c r="AX109" s="10">
        <v>0</v>
      </c>
      <c r="AY109" s="10">
        <v>0</v>
      </c>
      <c r="AZ109" s="10">
        <v>659157.04356507363</v>
      </c>
      <c r="BA109" s="10">
        <v>0</v>
      </c>
      <c r="BB109" s="10">
        <v>0</v>
      </c>
      <c r="BC109" s="10">
        <v>0</v>
      </c>
      <c r="BD109" s="10">
        <v>0</v>
      </c>
      <c r="BE109" s="10">
        <v>0</v>
      </c>
      <c r="BF109" s="10">
        <v>0</v>
      </c>
      <c r="BG109" s="10">
        <v>0</v>
      </c>
      <c r="BH109" s="10">
        <v>0</v>
      </c>
      <c r="BI109" s="10">
        <v>0</v>
      </c>
      <c r="BJ109" s="10">
        <v>0</v>
      </c>
      <c r="BK109" s="10">
        <v>0</v>
      </c>
      <c r="BL109" s="10">
        <v>698606.27430835611</v>
      </c>
      <c r="BM109" s="10">
        <v>0</v>
      </c>
      <c r="BN109" s="10">
        <v>0</v>
      </c>
      <c r="BO109" s="10">
        <v>0</v>
      </c>
      <c r="BP109" s="12">
        <v>659157.04356507363</v>
      </c>
      <c r="BQ109" s="12">
        <v>698606.27430835611</v>
      </c>
      <c r="BR109" s="12">
        <v>740416.46261316247</v>
      </c>
      <c r="BS109" s="12">
        <v>784728.90706763486</v>
      </c>
      <c r="BT109" s="12">
        <v>831693.36269781855</v>
      </c>
      <c r="BU109" s="12">
        <f t="shared" si="2"/>
        <v>3714602.0502520455</v>
      </c>
    </row>
    <row r="110" spans="1:73" x14ac:dyDescent="0.25">
      <c r="A110" s="6" t="s">
        <v>40</v>
      </c>
      <c r="B110" s="6" t="s">
        <v>18</v>
      </c>
      <c r="C110" s="18" t="s">
        <v>240</v>
      </c>
      <c r="D110" s="7" t="s">
        <v>241</v>
      </c>
      <c r="E110" s="7" t="s">
        <v>21</v>
      </c>
      <c r="F110" s="7" t="s">
        <v>242</v>
      </c>
      <c r="G110" s="7" t="s">
        <v>23</v>
      </c>
      <c r="H110" s="7" t="s">
        <v>256</v>
      </c>
      <c r="I110" s="6" t="s">
        <v>76</v>
      </c>
      <c r="J110" s="7" t="s">
        <v>244</v>
      </c>
      <c r="K110" s="6" t="s">
        <v>273</v>
      </c>
      <c r="L110" s="9">
        <v>4500</v>
      </c>
      <c r="M110" s="10">
        <v>5180</v>
      </c>
      <c r="N110" s="6" t="s">
        <v>273</v>
      </c>
      <c r="O110" s="11">
        <v>0</v>
      </c>
      <c r="P110" s="11"/>
      <c r="Q110" s="11"/>
      <c r="R110" s="11"/>
      <c r="S110" s="11"/>
      <c r="T110" s="11"/>
      <c r="U110" s="11"/>
      <c r="V110" s="11"/>
      <c r="W110" s="11">
        <v>237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>
        <v>251.183976</v>
      </c>
      <c r="AJ110" s="11"/>
      <c r="AK110" s="11"/>
      <c r="AL110" s="11"/>
      <c r="AM110" s="10">
        <v>237</v>
      </c>
      <c r="AN110" s="10">
        <v>251.183976</v>
      </c>
      <c r="AO110" s="11">
        <v>266.21683459564792</v>
      </c>
      <c r="AP110" s="11">
        <v>282.14937971252823</v>
      </c>
      <c r="AQ110" s="11">
        <v>299.03545578956363</v>
      </c>
      <c r="AR110" s="10">
        <v>0</v>
      </c>
      <c r="AS110" s="10">
        <v>0</v>
      </c>
      <c r="AT110" s="10">
        <v>0</v>
      </c>
      <c r="AU110" s="10">
        <v>0</v>
      </c>
      <c r="AV110" s="10">
        <v>0</v>
      </c>
      <c r="AW110" s="10">
        <v>0</v>
      </c>
      <c r="AX110" s="10">
        <v>0</v>
      </c>
      <c r="AY110" s="10">
        <v>0</v>
      </c>
      <c r="AZ110" s="10">
        <v>1055542.0224656921</v>
      </c>
      <c r="BA110" s="10">
        <v>0</v>
      </c>
      <c r="BB110" s="10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  <c r="BK110" s="10">
        <v>0</v>
      </c>
      <c r="BL110" s="10">
        <v>1118714.1014262189</v>
      </c>
      <c r="BM110" s="10">
        <v>0</v>
      </c>
      <c r="BN110" s="10">
        <v>0</v>
      </c>
      <c r="BO110" s="10">
        <v>0</v>
      </c>
      <c r="BP110" s="12">
        <v>1055542.0224656921</v>
      </c>
      <c r="BQ110" s="12">
        <v>1118714.1014262189</v>
      </c>
      <c r="BR110" s="12">
        <v>1185666.9029683748</v>
      </c>
      <c r="BS110" s="12">
        <v>1256626.6957772262</v>
      </c>
      <c r="BT110" s="12">
        <v>1331833.2902661015</v>
      </c>
      <c r="BU110" s="12">
        <f t="shared" si="2"/>
        <v>5948383.012903613</v>
      </c>
    </row>
    <row r="111" spans="1:73" x14ac:dyDescent="0.25">
      <c r="A111" s="6" t="s">
        <v>58</v>
      </c>
      <c r="B111" s="6" t="s">
        <v>18</v>
      </c>
      <c r="C111" s="18" t="s">
        <v>240</v>
      </c>
      <c r="D111" s="7" t="s">
        <v>241</v>
      </c>
      <c r="E111" s="7" t="s">
        <v>21</v>
      </c>
      <c r="F111" s="7" t="s">
        <v>242</v>
      </c>
      <c r="G111" s="7" t="s">
        <v>23</v>
      </c>
      <c r="H111" s="7" t="s">
        <v>274</v>
      </c>
      <c r="I111" s="6" t="s">
        <v>76</v>
      </c>
      <c r="J111" s="7" t="s">
        <v>244</v>
      </c>
      <c r="K111" s="6" t="s">
        <v>273</v>
      </c>
      <c r="L111" s="9">
        <v>4500</v>
      </c>
      <c r="M111" s="10">
        <v>5180</v>
      </c>
      <c r="N111" s="6" t="s">
        <v>273</v>
      </c>
      <c r="O111" s="11">
        <v>0</v>
      </c>
      <c r="P111" s="11"/>
      <c r="Q111" s="11"/>
      <c r="R111" s="11"/>
      <c r="S111" s="11"/>
      <c r="T111" s="11"/>
      <c r="U111" s="11"/>
      <c r="V111" s="11"/>
      <c r="W111" s="11">
        <v>40</v>
      </c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>
        <v>42.393919999999994</v>
      </c>
      <c r="AJ111" s="11"/>
      <c r="AK111" s="11"/>
      <c r="AL111" s="11"/>
      <c r="AM111" s="10">
        <v>40</v>
      </c>
      <c r="AN111" s="10">
        <v>42.393919999999994</v>
      </c>
      <c r="AO111" s="11">
        <v>44.931111324159993</v>
      </c>
      <c r="AP111" s="11">
        <v>47.620148474688314</v>
      </c>
      <c r="AQ111" s="11">
        <v>50.470119120601453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178150.55231488476</v>
      </c>
      <c r="BA111" s="10">
        <v>0</v>
      </c>
      <c r="BB111" s="10">
        <v>0</v>
      </c>
      <c r="BC111" s="10">
        <v>0</v>
      </c>
      <c r="BD111" s="10">
        <v>0</v>
      </c>
      <c r="BE111" s="10">
        <v>0</v>
      </c>
      <c r="BF111" s="10">
        <v>0</v>
      </c>
      <c r="BG111" s="10">
        <v>0</v>
      </c>
      <c r="BH111" s="10">
        <v>0</v>
      </c>
      <c r="BI111" s="10">
        <v>0</v>
      </c>
      <c r="BJ111" s="10">
        <v>0</v>
      </c>
      <c r="BK111" s="10">
        <v>0</v>
      </c>
      <c r="BL111" s="10">
        <v>188812.50656982596</v>
      </c>
      <c r="BM111" s="10">
        <v>0</v>
      </c>
      <c r="BN111" s="10">
        <v>0</v>
      </c>
      <c r="BO111" s="10">
        <v>0</v>
      </c>
      <c r="BP111" s="12">
        <v>178150.55231488476</v>
      </c>
      <c r="BQ111" s="12">
        <v>188812.50656982596</v>
      </c>
      <c r="BR111" s="12">
        <v>200112.55746301688</v>
      </c>
      <c r="BS111" s="12">
        <v>212088.89380206348</v>
      </c>
      <c r="BT111" s="12">
        <v>224781.98991832937</v>
      </c>
      <c r="BU111" s="12">
        <f t="shared" si="2"/>
        <v>1003946.5000681205</v>
      </c>
    </row>
    <row r="112" spans="1:73" x14ac:dyDescent="0.25">
      <c r="A112" s="6" t="s">
        <v>58</v>
      </c>
      <c r="B112" s="6" t="s">
        <v>18</v>
      </c>
      <c r="C112" s="18" t="s">
        <v>240</v>
      </c>
      <c r="D112" s="7" t="s">
        <v>241</v>
      </c>
      <c r="E112" s="7" t="s">
        <v>21</v>
      </c>
      <c r="F112" s="7" t="s">
        <v>242</v>
      </c>
      <c r="G112" s="7" t="s">
        <v>23</v>
      </c>
      <c r="H112" s="7" t="s">
        <v>274</v>
      </c>
      <c r="I112" s="6" t="s">
        <v>252</v>
      </c>
      <c r="J112" s="7" t="s">
        <v>244</v>
      </c>
      <c r="K112" s="6" t="s">
        <v>273</v>
      </c>
      <c r="L112" s="9">
        <v>4500</v>
      </c>
      <c r="M112" s="10">
        <v>5180</v>
      </c>
      <c r="N112" s="6" t="s">
        <v>273</v>
      </c>
      <c r="O112" s="11">
        <v>0</v>
      </c>
      <c r="P112" s="11"/>
      <c r="Q112" s="11"/>
      <c r="R112" s="11"/>
      <c r="S112" s="11"/>
      <c r="T112" s="11"/>
      <c r="U112" s="11"/>
      <c r="V112" s="11"/>
      <c r="W112" s="11">
        <v>285</v>
      </c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>
        <v>302.05667999999997</v>
      </c>
      <c r="AJ112" s="11"/>
      <c r="AK112" s="11"/>
      <c r="AL112" s="11"/>
      <c r="AM112" s="10">
        <v>285</v>
      </c>
      <c r="AN112" s="10">
        <v>302.05667999999997</v>
      </c>
      <c r="AO112" s="11">
        <v>320.13416818463992</v>
      </c>
      <c r="AP112" s="11">
        <v>339.29355788215423</v>
      </c>
      <c r="AQ112" s="11">
        <v>359.59959873428539</v>
      </c>
      <c r="AR112" s="10">
        <v>0</v>
      </c>
      <c r="AS112" s="10">
        <v>0</v>
      </c>
      <c r="AT112" s="10">
        <v>0</v>
      </c>
      <c r="AU112" s="10">
        <v>0</v>
      </c>
      <c r="AV112" s="10">
        <v>0</v>
      </c>
      <c r="AW112" s="10">
        <v>0</v>
      </c>
      <c r="AX112" s="10">
        <v>0</v>
      </c>
      <c r="AY112" s="10">
        <v>0</v>
      </c>
      <c r="AZ112" s="10">
        <v>1269322.6852435539</v>
      </c>
      <c r="BA112" s="10">
        <v>0</v>
      </c>
      <c r="BB112" s="10">
        <v>0</v>
      </c>
      <c r="BC112" s="10">
        <v>0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1345289.10931001</v>
      </c>
      <c r="BM112" s="10">
        <v>0</v>
      </c>
      <c r="BN112" s="10">
        <v>0</v>
      </c>
      <c r="BO112" s="10">
        <v>0</v>
      </c>
      <c r="BP112" s="12">
        <v>1269322.6852435539</v>
      </c>
      <c r="BQ112" s="12">
        <v>1345289.10931001</v>
      </c>
      <c r="BR112" s="12">
        <v>1425801.9719239953</v>
      </c>
      <c r="BS112" s="12">
        <v>1511133.3683397025</v>
      </c>
      <c r="BT112" s="12">
        <v>1601571.6781680968</v>
      </c>
      <c r="BU112" s="12">
        <f t="shared" si="2"/>
        <v>7153118.8129853578</v>
      </c>
    </row>
    <row r="113" spans="1:73" x14ac:dyDescent="0.25">
      <c r="A113" s="6" t="s">
        <v>98</v>
      </c>
      <c r="B113" s="6" t="s">
        <v>18</v>
      </c>
      <c r="C113" s="18" t="s">
        <v>240</v>
      </c>
      <c r="D113" s="7" t="s">
        <v>241</v>
      </c>
      <c r="E113" s="7" t="s">
        <v>21</v>
      </c>
      <c r="F113" s="7" t="s">
        <v>242</v>
      </c>
      <c r="G113" s="7" t="s">
        <v>23</v>
      </c>
      <c r="H113" s="7" t="s">
        <v>257</v>
      </c>
      <c r="I113" s="6" t="s">
        <v>76</v>
      </c>
      <c r="J113" s="7" t="s">
        <v>244</v>
      </c>
      <c r="K113" s="6" t="s">
        <v>273</v>
      </c>
      <c r="L113" s="9">
        <v>4500</v>
      </c>
      <c r="M113" s="10">
        <v>5180</v>
      </c>
      <c r="N113" s="6" t="s">
        <v>273</v>
      </c>
      <c r="O113" s="11">
        <v>0</v>
      </c>
      <c r="P113" s="11"/>
      <c r="Q113" s="11"/>
      <c r="R113" s="11"/>
      <c r="S113" s="11"/>
      <c r="T113" s="11"/>
      <c r="U113" s="11"/>
      <c r="V113" s="11"/>
      <c r="W113" s="11">
        <v>15</v>
      </c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>
        <v>15.897719999999998</v>
      </c>
      <c r="AJ113" s="11"/>
      <c r="AK113" s="11"/>
      <c r="AL113" s="11"/>
      <c r="AM113" s="10">
        <v>15</v>
      </c>
      <c r="AN113" s="10">
        <v>15.897719999999998</v>
      </c>
      <c r="AO113" s="11">
        <v>16.849166746559995</v>
      </c>
      <c r="AP113" s="11">
        <v>17.857555678008119</v>
      </c>
      <c r="AQ113" s="11">
        <v>18.926294670225545</v>
      </c>
      <c r="AR113" s="10">
        <v>0</v>
      </c>
      <c r="AS113" s="10">
        <v>0</v>
      </c>
      <c r="AT113" s="10">
        <v>0</v>
      </c>
      <c r="AU113" s="10">
        <v>0</v>
      </c>
      <c r="AV113" s="10">
        <v>0</v>
      </c>
      <c r="AW113" s="10">
        <v>0</v>
      </c>
      <c r="AX113" s="10">
        <v>0</v>
      </c>
      <c r="AY113" s="10">
        <v>0</v>
      </c>
      <c r="AZ113" s="10">
        <v>66806.457118081787</v>
      </c>
      <c r="BA113" s="10">
        <v>0</v>
      </c>
      <c r="BB113" s="10">
        <v>0</v>
      </c>
      <c r="BC113" s="10">
        <v>0</v>
      </c>
      <c r="BD113" s="10">
        <v>0</v>
      </c>
      <c r="BE113" s="10">
        <v>0</v>
      </c>
      <c r="BF113" s="10">
        <v>0</v>
      </c>
      <c r="BG113" s="10">
        <v>0</v>
      </c>
      <c r="BH113" s="10">
        <v>0</v>
      </c>
      <c r="BI113" s="10">
        <v>0</v>
      </c>
      <c r="BJ113" s="10">
        <v>0</v>
      </c>
      <c r="BK113" s="10">
        <v>0</v>
      </c>
      <c r="BL113" s="10">
        <v>70804.689963684737</v>
      </c>
      <c r="BM113" s="10">
        <v>0</v>
      </c>
      <c r="BN113" s="10">
        <v>0</v>
      </c>
      <c r="BO113" s="10">
        <v>0</v>
      </c>
      <c r="BP113" s="12">
        <v>66806.457118081787</v>
      </c>
      <c r="BQ113" s="12">
        <v>70804.689963684737</v>
      </c>
      <c r="BR113" s="12">
        <v>75042.209048631325</v>
      </c>
      <c r="BS113" s="12">
        <v>79533.335175773813</v>
      </c>
      <c r="BT113" s="12">
        <v>84293.246219373512</v>
      </c>
      <c r="BU113" s="12">
        <f t="shared" si="2"/>
        <v>376479.93752554513</v>
      </c>
    </row>
    <row r="114" spans="1:73" x14ac:dyDescent="0.25">
      <c r="A114" s="6" t="s">
        <v>98</v>
      </c>
      <c r="B114" s="6" t="s">
        <v>18</v>
      </c>
      <c r="C114" s="18" t="s">
        <v>240</v>
      </c>
      <c r="D114" s="7" t="s">
        <v>241</v>
      </c>
      <c r="E114" s="7" t="s">
        <v>21</v>
      </c>
      <c r="F114" s="7" t="s">
        <v>242</v>
      </c>
      <c r="G114" s="7" t="s">
        <v>23</v>
      </c>
      <c r="H114" s="7" t="s">
        <v>257</v>
      </c>
      <c r="I114" s="6" t="s">
        <v>252</v>
      </c>
      <c r="J114" s="7" t="s">
        <v>244</v>
      </c>
      <c r="K114" s="6" t="s">
        <v>273</v>
      </c>
      <c r="L114" s="9"/>
      <c r="M114" s="10">
        <v>5180</v>
      </c>
      <c r="N114" s="6" t="s">
        <v>273</v>
      </c>
      <c r="O114" s="11">
        <v>0</v>
      </c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0">
        <v>0</v>
      </c>
      <c r="AN114" s="10">
        <v>0</v>
      </c>
      <c r="AO114" s="11">
        <v>0</v>
      </c>
      <c r="AP114" s="11">
        <v>0</v>
      </c>
      <c r="AQ114" s="11">
        <v>0</v>
      </c>
      <c r="AR114" s="10">
        <v>0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  <c r="BP114" s="12">
        <v>0</v>
      </c>
      <c r="BQ114" s="12">
        <v>0</v>
      </c>
      <c r="BR114" s="12">
        <v>0</v>
      </c>
      <c r="BS114" s="12">
        <v>0</v>
      </c>
      <c r="BT114" s="12">
        <v>0</v>
      </c>
      <c r="BU114" s="12">
        <f t="shared" si="2"/>
        <v>0</v>
      </c>
    </row>
    <row r="115" spans="1:73" x14ac:dyDescent="0.25">
      <c r="A115" s="6" t="s">
        <v>258</v>
      </c>
      <c r="B115" s="6" t="s">
        <v>18</v>
      </c>
      <c r="C115" s="18" t="s">
        <v>240</v>
      </c>
      <c r="D115" s="7" t="s">
        <v>241</v>
      </c>
      <c r="E115" s="7" t="s">
        <v>21</v>
      </c>
      <c r="F115" s="7" t="s">
        <v>242</v>
      </c>
      <c r="G115" s="7" t="s">
        <v>23</v>
      </c>
      <c r="H115" s="7" t="s">
        <v>259</v>
      </c>
      <c r="I115" s="6" t="s">
        <v>252</v>
      </c>
      <c r="J115" s="7" t="s">
        <v>244</v>
      </c>
      <c r="K115" s="6" t="s">
        <v>273</v>
      </c>
      <c r="L115" s="9"/>
      <c r="M115" s="10">
        <v>5180</v>
      </c>
      <c r="N115" s="6" t="s">
        <v>273</v>
      </c>
      <c r="O115" s="11">
        <v>0</v>
      </c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0">
        <v>0</v>
      </c>
      <c r="AN115" s="10">
        <v>0</v>
      </c>
      <c r="AO115" s="11">
        <v>0</v>
      </c>
      <c r="AP115" s="11">
        <v>0</v>
      </c>
      <c r="AQ115" s="11">
        <v>0</v>
      </c>
      <c r="AR115" s="10">
        <v>0</v>
      </c>
      <c r="AS115" s="10">
        <v>0</v>
      </c>
      <c r="AT115" s="10">
        <v>0</v>
      </c>
      <c r="AU115" s="10">
        <v>0</v>
      </c>
      <c r="AV115" s="10">
        <v>0</v>
      </c>
      <c r="AW115" s="10">
        <v>0</v>
      </c>
      <c r="AX115" s="10">
        <v>0</v>
      </c>
      <c r="AY115" s="10">
        <v>0</v>
      </c>
      <c r="AZ115" s="10">
        <v>0</v>
      </c>
      <c r="BA115" s="10">
        <v>0</v>
      </c>
      <c r="BB115" s="10">
        <v>0</v>
      </c>
      <c r="BC115" s="10">
        <v>0</v>
      </c>
      <c r="BD115" s="10">
        <v>0</v>
      </c>
      <c r="BE115" s="10">
        <v>0</v>
      </c>
      <c r="BF115" s="10">
        <v>0</v>
      </c>
      <c r="BG115" s="10">
        <v>0</v>
      </c>
      <c r="BH115" s="10">
        <v>0</v>
      </c>
      <c r="BI115" s="10">
        <v>0</v>
      </c>
      <c r="BJ115" s="10">
        <v>0</v>
      </c>
      <c r="BK115" s="10">
        <v>0</v>
      </c>
      <c r="BL115" s="10">
        <v>0</v>
      </c>
      <c r="BM115" s="10">
        <v>0</v>
      </c>
      <c r="BN115" s="10">
        <v>0</v>
      </c>
      <c r="BO115" s="10">
        <v>0</v>
      </c>
      <c r="BP115" s="12">
        <v>0</v>
      </c>
      <c r="BQ115" s="12">
        <v>0</v>
      </c>
      <c r="BR115" s="12">
        <v>0</v>
      </c>
      <c r="BS115" s="12">
        <v>0</v>
      </c>
      <c r="BT115" s="12">
        <v>0</v>
      </c>
      <c r="BU115" s="12">
        <f t="shared" si="2"/>
        <v>0</v>
      </c>
    </row>
    <row r="116" spans="1:73" x14ac:dyDescent="0.25">
      <c r="A116" s="6" t="s">
        <v>42</v>
      </c>
      <c r="B116" s="6" t="s">
        <v>18</v>
      </c>
      <c r="C116" s="18" t="s">
        <v>240</v>
      </c>
      <c r="D116" s="7" t="s">
        <v>241</v>
      </c>
      <c r="E116" s="7" t="s">
        <v>21</v>
      </c>
      <c r="F116" s="7" t="s">
        <v>242</v>
      </c>
      <c r="G116" s="7" t="s">
        <v>23</v>
      </c>
      <c r="H116" s="7" t="s">
        <v>260</v>
      </c>
      <c r="I116" s="6" t="s">
        <v>76</v>
      </c>
      <c r="J116" s="7" t="s">
        <v>244</v>
      </c>
      <c r="K116" s="6" t="s">
        <v>273</v>
      </c>
      <c r="L116" s="9">
        <v>4500</v>
      </c>
      <c r="M116" s="10">
        <v>5180</v>
      </c>
      <c r="N116" s="6" t="s">
        <v>273</v>
      </c>
      <c r="O116" s="11">
        <v>0</v>
      </c>
      <c r="P116" s="11"/>
      <c r="Q116" s="11"/>
      <c r="R116" s="11"/>
      <c r="S116" s="11"/>
      <c r="T116" s="11"/>
      <c r="U116" s="11"/>
      <c r="V116" s="11"/>
      <c r="W116" s="11">
        <v>30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>
        <v>31.795439999999996</v>
      </c>
      <c r="AJ116" s="11"/>
      <c r="AK116" s="11"/>
      <c r="AL116" s="11"/>
      <c r="AM116" s="10">
        <v>30</v>
      </c>
      <c r="AN116" s="10">
        <v>31.795439999999996</v>
      </c>
      <c r="AO116" s="11">
        <v>33.698333493119989</v>
      </c>
      <c r="AP116" s="11">
        <v>35.715111356016237</v>
      </c>
      <c r="AQ116" s="11">
        <v>37.85258934045109</v>
      </c>
      <c r="AR116" s="10">
        <v>0</v>
      </c>
      <c r="AS116" s="10">
        <v>0</v>
      </c>
      <c r="AT116" s="10">
        <v>0</v>
      </c>
      <c r="AU116" s="10">
        <v>0</v>
      </c>
      <c r="AV116" s="10">
        <v>0</v>
      </c>
      <c r="AW116" s="10">
        <v>0</v>
      </c>
      <c r="AX116" s="10">
        <v>0</v>
      </c>
      <c r="AY116" s="10">
        <v>0</v>
      </c>
      <c r="AZ116" s="10">
        <v>133612.91423616357</v>
      </c>
      <c r="BA116" s="10">
        <v>0</v>
      </c>
      <c r="BB116" s="10">
        <v>0</v>
      </c>
      <c r="BC116" s="10">
        <v>0</v>
      </c>
      <c r="BD116" s="10">
        <v>0</v>
      </c>
      <c r="BE116" s="10">
        <v>0</v>
      </c>
      <c r="BF116" s="10">
        <v>0</v>
      </c>
      <c r="BG116" s="10">
        <v>0</v>
      </c>
      <c r="BH116" s="10">
        <v>0</v>
      </c>
      <c r="BI116" s="10">
        <v>0</v>
      </c>
      <c r="BJ116" s="10">
        <v>0</v>
      </c>
      <c r="BK116" s="10">
        <v>0</v>
      </c>
      <c r="BL116" s="10">
        <v>141609.37992736947</v>
      </c>
      <c r="BM116" s="10">
        <v>0</v>
      </c>
      <c r="BN116" s="10">
        <v>0</v>
      </c>
      <c r="BO116" s="10">
        <v>0</v>
      </c>
      <c r="BP116" s="12">
        <v>133612.91423616357</v>
      </c>
      <c r="BQ116" s="12">
        <v>141609.37992736947</v>
      </c>
      <c r="BR116" s="12">
        <v>150084.41809726265</v>
      </c>
      <c r="BS116" s="12">
        <v>159066.67035154763</v>
      </c>
      <c r="BT116" s="12">
        <v>168586.49243874702</v>
      </c>
      <c r="BU116" s="12">
        <f t="shared" si="2"/>
        <v>752959.87505109026</v>
      </c>
    </row>
    <row r="117" spans="1:73" x14ac:dyDescent="0.25">
      <c r="A117" s="6" t="s">
        <v>42</v>
      </c>
      <c r="B117" s="6" t="s">
        <v>18</v>
      </c>
      <c r="C117" s="18" t="s">
        <v>240</v>
      </c>
      <c r="D117" s="7" t="s">
        <v>241</v>
      </c>
      <c r="E117" s="7" t="s">
        <v>21</v>
      </c>
      <c r="F117" s="7" t="s">
        <v>242</v>
      </c>
      <c r="G117" s="7" t="s">
        <v>23</v>
      </c>
      <c r="H117" s="7" t="s">
        <v>260</v>
      </c>
      <c r="I117" s="6" t="s">
        <v>252</v>
      </c>
      <c r="J117" s="7" t="s">
        <v>244</v>
      </c>
      <c r="K117" s="6" t="s">
        <v>275</v>
      </c>
      <c r="L117" s="9"/>
      <c r="M117" s="10">
        <v>15400.000000000002</v>
      </c>
      <c r="N117" s="6" t="s">
        <v>273</v>
      </c>
      <c r="O117" s="11">
        <v>0</v>
      </c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0">
        <v>0</v>
      </c>
      <c r="AN117" s="10">
        <v>0</v>
      </c>
      <c r="AO117" s="11">
        <v>0</v>
      </c>
      <c r="AP117" s="11">
        <v>0</v>
      </c>
      <c r="AQ117" s="11">
        <v>0</v>
      </c>
      <c r="AR117" s="10">
        <v>0</v>
      </c>
      <c r="AS117" s="10">
        <v>0</v>
      </c>
      <c r="AT117" s="10">
        <v>0</v>
      </c>
      <c r="AU117" s="10">
        <v>0</v>
      </c>
      <c r="AV117" s="10">
        <v>0</v>
      </c>
      <c r="AW117" s="10">
        <v>0</v>
      </c>
      <c r="AX117" s="10">
        <v>0</v>
      </c>
      <c r="AY117" s="10">
        <v>0</v>
      </c>
      <c r="AZ117" s="10">
        <v>0</v>
      </c>
      <c r="BA117" s="10">
        <v>0</v>
      </c>
      <c r="BB117" s="10">
        <v>0</v>
      </c>
      <c r="BC117" s="10">
        <v>0</v>
      </c>
      <c r="BD117" s="10">
        <v>0</v>
      </c>
      <c r="BE117" s="10">
        <v>0</v>
      </c>
      <c r="BF117" s="10">
        <v>0</v>
      </c>
      <c r="BG117" s="10">
        <v>0</v>
      </c>
      <c r="BH117" s="10">
        <v>0</v>
      </c>
      <c r="BI117" s="10">
        <v>0</v>
      </c>
      <c r="BJ117" s="10">
        <v>0</v>
      </c>
      <c r="BK117" s="10">
        <v>0</v>
      </c>
      <c r="BL117" s="10">
        <v>0</v>
      </c>
      <c r="BM117" s="10">
        <v>0</v>
      </c>
      <c r="BN117" s="10">
        <v>0</v>
      </c>
      <c r="BO117" s="10">
        <v>0</v>
      </c>
      <c r="BP117" s="12">
        <v>0</v>
      </c>
      <c r="BQ117" s="12">
        <v>0</v>
      </c>
      <c r="BR117" s="12">
        <v>0</v>
      </c>
      <c r="BS117" s="12">
        <v>0</v>
      </c>
      <c r="BT117" s="12">
        <v>0</v>
      </c>
      <c r="BU117" s="12">
        <f t="shared" si="2"/>
        <v>0</v>
      </c>
    </row>
    <row r="118" spans="1:73" x14ac:dyDescent="0.25">
      <c r="A118" s="6" t="s">
        <v>17</v>
      </c>
      <c r="B118" s="6" t="s">
        <v>18</v>
      </c>
      <c r="C118" s="18" t="s">
        <v>240</v>
      </c>
      <c r="D118" s="7" t="s">
        <v>241</v>
      </c>
      <c r="E118" s="7" t="s">
        <v>21</v>
      </c>
      <c r="F118" s="7" t="s">
        <v>242</v>
      </c>
      <c r="G118" s="7" t="s">
        <v>23</v>
      </c>
      <c r="H118" s="7" t="s">
        <v>254</v>
      </c>
      <c r="I118" s="6" t="s">
        <v>252</v>
      </c>
      <c r="J118" s="7" t="s">
        <v>244</v>
      </c>
      <c r="K118" s="6" t="s">
        <v>275</v>
      </c>
      <c r="L118" s="9">
        <v>14000</v>
      </c>
      <c r="M118" s="10">
        <v>15400.000000000002</v>
      </c>
      <c r="N118" s="6" t="s">
        <v>275</v>
      </c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0">
        <v>0</v>
      </c>
      <c r="AN118" s="10">
        <v>0</v>
      </c>
      <c r="AO118" s="11"/>
      <c r="AP118" s="11"/>
      <c r="AQ118" s="11"/>
      <c r="AR118" s="10">
        <v>0</v>
      </c>
      <c r="AS118" s="10">
        <v>0</v>
      </c>
      <c r="AT118" s="10">
        <v>0</v>
      </c>
      <c r="AU118" s="10">
        <v>0</v>
      </c>
      <c r="AV118" s="10">
        <v>0</v>
      </c>
      <c r="AW118" s="10">
        <v>0</v>
      </c>
      <c r="AX118" s="10">
        <v>0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  <c r="BJ118" s="10">
        <v>0</v>
      </c>
      <c r="BK118" s="10">
        <v>0</v>
      </c>
      <c r="BL118" s="10">
        <v>0</v>
      </c>
      <c r="BM118" s="10">
        <v>0</v>
      </c>
      <c r="BN118" s="10">
        <v>0</v>
      </c>
      <c r="BO118" s="10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0</v>
      </c>
      <c r="BU118" s="12">
        <f t="shared" si="2"/>
        <v>0</v>
      </c>
    </row>
    <row r="119" spans="1:73" x14ac:dyDescent="0.25">
      <c r="A119" s="6" t="s">
        <v>17</v>
      </c>
      <c r="B119" s="6" t="s">
        <v>18</v>
      </c>
      <c r="C119" s="18" t="s">
        <v>240</v>
      </c>
      <c r="D119" s="7" t="s">
        <v>241</v>
      </c>
      <c r="E119" s="7" t="s">
        <v>21</v>
      </c>
      <c r="F119" s="7" t="s">
        <v>242</v>
      </c>
      <c r="G119" s="7" t="s">
        <v>23</v>
      </c>
      <c r="H119" s="7" t="s">
        <v>254</v>
      </c>
      <c r="I119" s="6" t="s">
        <v>76</v>
      </c>
      <c r="J119" s="7" t="s">
        <v>244</v>
      </c>
      <c r="K119" s="6" t="s">
        <v>275</v>
      </c>
      <c r="L119" s="9">
        <v>14000</v>
      </c>
      <c r="M119" s="10">
        <v>15400.000000000002</v>
      </c>
      <c r="N119" s="6" t="s">
        <v>275</v>
      </c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0">
        <v>0</v>
      </c>
      <c r="AN119" s="10">
        <v>0</v>
      </c>
      <c r="AO119" s="11"/>
      <c r="AP119" s="11"/>
      <c r="AQ119" s="11"/>
      <c r="AR119" s="10">
        <v>0</v>
      </c>
      <c r="AS119" s="10">
        <v>0</v>
      </c>
      <c r="AT119" s="10">
        <v>0</v>
      </c>
      <c r="AU119" s="10">
        <v>0</v>
      </c>
      <c r="AV119" s="10">
        <v>0</v>
      </c>
      <c r="AW119" s="10">
        <v>0</v>
      </c>
      <c r="AX119" s="10">
        <v>0</v>
      </c>
      <c r="AY119" s="10">
        <v>0</v>
      </c>
      <c r="AZ119" s="10">
        <v>0</v>
      </c>
      <c r="BA119" s="10">
        <v>0</v>
      </c>
      <c r="BB119" s="10">
        <v>0</v>
      </c>
      <c r="BC119" s="10">
        <v>0</v>
      </c>
      <c r="BD119" s="10">
        <v>0</v>
      </c>
      <c r="BE119" s="10">
        <v>0</v>
      </c>
      <c r="BF119" s="10">
        <v>0</v>
      </c>
      <c r="BG119" s="10">
        <v>0</v>
      </c>
      <c r="BH119" s="10">
        <v>0</v>
      </c>
      <c r="BI119" s="10">
        <v>0</v>
      </c>
      <c r="BJ119" s="10">
        <v>0</v>
      </c>
      <c r="BK119" s="10">
        <v>0</v>
      </c>
      <c r="BL119" s="10">
        <v>0</v>
      </c>
      <c r="BM119" s="10">
        <v>0</v>
      </c>
      <c r="BN119" s="10">
        <v>0</v>
      </c>
      <c r="BO119" s="10">
        <v>0</v>
      </c>
      <c r="BP119" s="12">
        <v>0</v>
      </c>
      <c r="BQ119" s="12">
        <v>0</v>
      </c>
      <c r="BR119" s="12">
        <v>0</v>
      </c>
      <c r="BS119" s="12">
        <v>0</v>
      </c>
      <c r="BT119" s="12">
        <v>0</v>
      </c>
      <c r="BU119" s="12">
        <f t="shared" si="2"/>
        <v>0</v>
      </c>
    </row>
    <row r="120" spans="1:73" x14ac:dyDescent="0.25">
      <c r="A120" s="6" t="s">
        <v>28</v>
      </c>
      <c r="B120" s="6" t="s">
        <v>18</v>
      </c>
      <c r="C120" s="18" t="s">
        <v>240</v>
      </c>
      <c r="D120" s="7" t="s">
        <v>241</v>
      </c>
      <c r="E120" s="7" t="s">
        <v>21</v>
      </c>
      <c r="F120" s="7" t="s">
        <v>242</v>
      </c>
      <c r="G120" s="7" t="s">
        <v>23</v>
      </c>
      <c r="H120" s="7" t="s">
        <v>247</v>
      </c>
      <c r="I120" s="6" t="s">
        <v>76</v>
      </c>
      <c r="J120" s="7" t="s">
        <v>244</v>
      </c>
      <c r="K120" s="6" t="s">
        <v>275</v>
      </c>
      <c r="L120" s="9">
        <v>14000</v>
      </c>
      <c r="M120" s="10">
        <v>15400.000000000002</v>
      </c>
      <c r="N120" s="6" t="s">
        <v>275</v>
      </c>
      <c r="O120" s="11">
        <v>0</v>
      </c>
      <c r="P120" s="11"/>
      <c r="Q120" s="11"/>
      <c r="R120" s="11"/>
      <c r="S120" s="11"/>
      <c r="T120" s="11"/>
      <c r="U120" s="11"/>
      <c r="V120" s="11"/>
      <c r="W120" s="11">
        <v>2</v>
      </c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>
        <v>2.1196959999999998</v>
      </c>
      <c r="AJ120" s="11"/>
      <c r="AK120" s="11"/>
      <c r="AL120" s="11"/>
      <c r="AM120" s="10">
        <v>2</v>
      </c>
      <c r="AN120" s="10">
        <v>2.1196959999999998</v>
      </c>
      <c r="AO120" s="11">
        <v>2</v>
      </c>
      <c r="AP120" s="11">
        <v>2.3810074237344159</v>
      </c>
      <c r="AQ120" s="11">
        <v>2.523505956030073</v>
      </c>
      <c r="AR120" s="10">
        <v>0</v>
      </c>
      <c r="AS120" s="10">
        <v>0</v>
      </c>
      <c r="AT120" s="10">
        <v>0</v>
      </c>
      <c r="AU120" s="10">
        <v>0</v>
      </c>
      <c r="AV120" s="10">
        <v>0</v>
      </c>
      <c r="AW120" s="10">
        <v>0</v>
      </c>
      <c r="AX120" s="10">
        <v>0</v>
      </c>
      <c r="AY120" s="10">
        <v>0</v>
      </c>
      <c r="AZ120" s="10">
        <v>27712.308137870961</v>
      </c>
      <c r="BA120" s="10">
        <v>0</v>
      </c>
      <c r="BB120" s="10">
        <v>0</v>
      </c>
      <c r="BC120" s="10">
        <v>0</v>
      </c>
      <c r="BD120" s="10">
        <v>0</v>
      </c>
      <c r="BE120" s="10">
        <v>0</v>
      </c>
      <c r="BF120" s="10">
        <v>0</v>
      </c>
      <c r="BG120" s="10">
        <v>0</v>
      </c>
      <c r="BH120" s="10">
        <v>0</v>
      </c>
      <c r="BI120" s="10">
        <v>0</v>
      </c>
      <c r="BJ120" s="10">
        <v>0</v>
      </c>
      <c r="BK120" s="10">
        <v>0</v>
      </c>
      <c r="BL120" s="10">
        <v>29370.834355306262</v>
      </c>
      <c r="BM120" s="10">
        <v>0</v>
      </c>
      <c r="BN120" s="10">
        <v>0</v>
      </c>
      <c r="BO120" s="10">
        <v>0</v>
      </c>
      <c r="BP120" s="12">
        <v>27712.308137870961</v>
      </c>
      <c r="BQ120" s="12">
        <v>29370.834355306262</v>
      </c>
      <c r="BR120" s="12">
        <v>27712.308137870961</v>
      </c>
      <c r="BS120" s="12">
        <v>32991.605702543216</v>
      </c>
      <c r="BT120" s="12">
        <v>34966.08732062902</v>
      </c>
      <c r="BU120" s="12">
        <f t="shared" si="2"/>
        <v>152753.14365422042</v>
      </c>
    </row>
    <row r="121" spans="1:73" x14ac:dyDescent="0.25">
      <c r="A121" s="6" t="s">
        <v>28</v>
      </c>
      <c r="B121" s="6" t="s">
        <v>18</v>
      </c>
      <c r="C121" s="18" t="s">
        <v>240</v>
      </c>
      <c r="D121" s="7" t="s">
        <v>241</v>
      </c>
      <c r="E121" s="7" t="s">
        <v>21</v>
      </c>
      <c r="F121" s="7" t="s">
        <v>242</v>
      </c>
      <c r="G121" s="7" t="s">
        <v>23</v>
      </c>
      <c r="H121" s="7" t="s">
        <v>247</v>
      </c>
      <c r="I121" s="6" t="s">
        <v>252</v>
      </c>
      <c r="J121" s="7" t="s">
        <v>244</v>
      </c>
      <c r="K121" s="6" t="s">
        <v>275</v>
      </c>
      <c r="L121" s="9">
        <v>14000</v>
      </c>
      <c r="M121" s="10">
        <v>15400.000000000002</v>
      </c>
      <c r="N121" s="6" t="s">
        <v>275</v>
      </c>
      <c r="O121" s="11">
        <v>0</v>
      </c>
      <c r="P121" s="11"/>
      <c r="Q121" s="11"/>
      <c r="R121" s="11"/>
      <c r="S121" s="11"/>
      <c r="T121" s="11"/>
      <c r="U121" s="11"/>
      <c r="V121" s="11"/>
      <c r="W121" s="11">
        <v>12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>
        <v>12.718175999999998</v>
      </c>
      <c r="AJ121" s="11"/>
      <c r="AK121" s="11"/>
      <c r="AL121" s="11"/>
      <c r="AM121" s="10">
        <v>12</v>
      </c>
      <c r="AN121" s="10">
        <v>12.718175999999998</v>
      </c>
      <c r="AO121" s="11">
        <v>13.479333397247997</v>
      </c>
      <c r="AP121" s="11">
        <v>14.286044542406495</v>
      </c>
      <c r="AQ121" s="11">
        <v>15.141035736180436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10">
        <v>0</v>
      </c>
      <c r="AX121" s="10">
        <v>0</v>
      </c>
      <c r="AY121" s="10">
        <v>0</v>
      </c>
      <c r="AZ121" s="10">
        <v>166273.84882722577</v>
      </c>
      <c r="BA121" s="10">
        <v>0</v>
      </c>
      <c r="BB121" s="10">
        <v>0</v>
      </c>
      <c r="BC121" s="10">
        <v>0</v>
      </c>
      <c r="BD121" s="10">
        <v>0</v>
      </c>
      <c r="BE121" s="10">
        <v>0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176225.00613183755</v>
      </c>
      <c r="BM121" s="10">
        <v>0</v>
      </c>
      <c r="BN121" s="10">
        <v>0</v>
      </c>
      <c r="BO121" s="10">
        <v>0</v>
      </c>
      <c r="BP121" s="12">
        <v>166273.84882722577</v>
      </c>
      <c r="BQ121" s="12">
        <v>176225.00613183755</v>
      </c>
      <c r="BR121" s="12">
        <v>186771.72029881575</v>
      </c>
      <c r="BS121" s="12">
        <v>197949.63421525928</v>
      </c>
      <c r="BT121" s="12">
        <v>209796.52392377408</v>
      </c>
      <c r="BU121" s="12">
        <f t="shared" si="2"/>
        <v>937016.73339691246</v>
      </c>
    </row>
    <row r="122" spans="1:73" x14ac:dyDescent="0.25">
      <c r="A122" s="6" t="s">
        <v>30</v>
      </c>
      <c r="B122" s="6" t="s">
        <v>18</v>
      </c>
      <c r="C122" s="18" t="s">
        <v>240</v>
      </c>
      <c r="D122" s="7" t="s">
        <v>241</v>
      </c>
      <c r="E122" s="7" t="s">
        <v>21</v>
      </c>
      <c r="F122" s="7" t="s">
        <v>242</v>
      </c>
      <c r="G122" s="7" t="s">
        <v>23</v>
      </c>
      <c r="H122" s="7" t="s">
        <v>249</v>
      </c>
      <c r="I122" s="6" t="s">
        <v>76</v>
      </c>
      <c r="J122" s="7" t="s">
        <v>244</v>
      </c>
      <c r="K122" s="6" t="s">
        <v>275</v>
      </c>
      <c r="L122" s="9">
        <v>14000</v>
      </c>
      <c r="M122" s="10">
        <v>15400.000000000002</v>
      </c>
      <c r="N122" s="6" t="s">
        <v>275</v>
      </c>
      <c r="O122" s="11">
        <v>0</v>
      </c>
      <c r="P122" s="11"/>
      <c r="Q122" s="11"/>
      <c r="R122" s="11"/>
      <c r="S122" s="11"/>
      <c r="T122" s="11"/>
      <c r="U122" s="11"/>
      <c r="V122" s="11"/>
      <c r="W122" s="11">
        <v>1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>
        <v>1.0598479999999999</v>
      </c>
      <c r="AJ122" s="11"/>
      <c r="AK122" s="11"/>
      <c r="AL122" s="11"/>
      <c r="AM122" s="10">
        <v>1</v>
      </c>
      <c r="AN122" s="10">
        <v>1.0598479999999999</v>
      </c>
      <c r="AO122" s="11">
        <v>1</v>
      </c>
      <c r="AP122" s="11">
        <v>1</v>
      </c>
      <c r="AQ122" s="11">
        <v>4</v>
      </c>
      <c r="AR122" s="10">
        <v>0</v>
      </c>
      <c r="AS122" s="10">
        <v>0</v>
      </c>
      <c r="AT122" s="10">
        <v>0</v>
      </c>
      <c r="AU122" s="10">
        <v>0</v>
      </c>
      <c r="AV122" s="10">
        <v>0</v>
      </c>
      <c r="AW122" s="10">
        <v>0</v>
      </c>
      <c r="AX122" s="10">
        <v>0</v>
      </c>
      <c r="AY122" s="10">
        <v>0</v>
      </c>
      <c r="AZ122" s="10">
        <v>13856.154068935481</v>
      </c>
      <c r="BA122" s="10">
        <v>0</v>
      </c>
      <c r="BB122" s="10">
        <v>0</v>
      </c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10">
        <v>14685.417177653131</v>
      </c>
      <c r="BM122" s="10">
        <v>0</v>
      </c>
      <c r="BN122" s="10">
        <v>0</v>
      </c>
      <c r="BO122" s="10">
        <v>0</v>
      </c>
      <c r="BP122" s="12">
        <v>13856.154068935481</v>
      </c>
      <c r="BQ122" s="12">
        <v>14685.417177653131</v>
      </c>
      <c r="BR122" s="12">
        <v>13856.154068935481</v>
      </c>
      <c r="BS122" s="12">
        <v>13856.154068935481</v>
      </c>
      <c r="BT122" s="12">
        <v>55424.616275741922</v>
      </c>
      <c r="BU122" s="12">
        <f t="shared" si="2"/>
        <v>111678.4956602015</v>
      </c>
    </row>
    <row r="123" spans="1:73" x14ac:dyDescent="0.25">
      <c r="A123" s="6" t="s">
        <v>30</v>
      </c>
      <c r="B123" s="6" t="s">
        <v>18</v>
      </c>
      <c r="C123" s="18" t="s">
        <v>240</v>
      </c>
      <c r="D123" s="7" t="s">
        <v>241</v>
      </c>
      <c r="E123" s="7" t="s">
        <v>21</v>
      </c>
      <c r="F123" s="7" t="s">
        <v>242</v>
      </c>
      <c r="G123" s="7" t="s">
        <v>23</v>
      </c>
      <c r="H123" s="7" t="s">
        <v>249</v>
      </c>
      <c r="I123" s="6" t="s">
        <v>252</v>
      </c>
      <c r="J123" s="7" t="s">
        <v>244</v>
      </c>
      <c r="K123" s="6" t="s">
        <v>275</v>
      </c>
      <c r="L123" s="9">
        <v>14000</v>
      </c>
      <c r="M123" s="10">
        <v>15400.000000000002</v>
      </c>
      <c r="N123" s="6" t="s">
        <v>275</v>
      </c>
      <c r="O123" s="11">
        <v>0</v>
      </c>
      <c r="P123" s="11"/>
      <c r="Q123" s="11"/>
      <c r="R123" s="11"/>
      <c r="S123" s="11"/>
      <c r="T123" s="11"/>
      <c r="U123" s="11"/>
      <c r="V123" s="11"/>
      <c r="W123" s="11">
        <v>4</v>
      </c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>
        <v>4.2393919999999996</v>
      </c>
      <c r="AJ123" s="11"/>
      <c r="AK123" s="11"/>
      <c r="AL123" s="11"/>
      <c r="AM123" s="10">
        <v>4</v>
      </c>
      <c r="AN123" s="10">
        <v>4.2393919999999996</v>
      </c>
      <c r="AO123" s="11">
        <v>4.4931111324159998</v>
      </c>
      <c r="AP123" s="11">
        <v>4.7620148474688317</v>
      </c>
      <c r="AQ123" s="11">
        <v>4</v>
      </c>
      <c r="AR123" s="10">
        <v>0</v>
      </c>
      <c r="AS123" s="10">
        <v>0</v>
      </c>
      <c r="AT123" s="10">
        <v>0</v>
      </c>
      <c r="AU123" s="10">
        <v>0</v>
      </c>
      <c r="AV123" s="10">
        <v>0</v>
      </c>
      <c r="AW123" s="10">
        <v>0</v>
      </c>
      <c r="AX123" s="10">
        <v>0</v>
      </c>
      <c r="AY123" s="10">
        <v>0</v>
      </c>
      <c r="AZ123" s="10">
        <v>55424.616275741922</v>
      </c>
      <c r="BA123" s="10">
        <v>0</v>
      </c>
      <c r="BB123" s="10">
        <v>0</v>
      </c>
      <c r="BC123" s="10">
        <v>0</v>
      </c>
      <c r="BD123" s="10">
        <v>0</v>
      </c>
      <c r="BE123" s="10">
        <v>0</v>
      </c>
      <c r="BF123" s="10">
        <v>0</v>
      </c>
      <c r="BG123" s="10">
        <v>0</v>
      </c>
      <c r="BH123" s="10">
        <v>0</v>
      </c>
      <c r="BI123" s="10">
        <v>0</v>
      </c>
      <c r="BJ123" s="10">
        <v>0</v>
      </c>
      <c r="BK123" s="10">
        <v>0</v>
      </c>
      <c r="BL123" s="10">
        <v>58741.668710612525</v>
      </c>
      <c r="BM123" s="10">
        <v>0</v>
      </c>
      <c r="BN123" s="10">
        <v>0</v>
      </c>
      <c r="BO123" s="10">
        <v>0</v>
      </c>
      <c r="BP123" s="12">
        <v>55424.616275741922</v>
      </c>
      <c r="BQ123" s="12">
        <v>58741.668710612525</v>
      </c>
      <c r="BR123" s="12">
        <v>62257.240099605267</v>
      </c>
      <c r="BS123" s="12">
        <v>65983.211405086433</v>
      </c>
      <c r="BT123" s="12">
        <v>55424.616275741922</v>
      </c>
      <c r="BU123" s="12">
        <f t="shared" si="2"/>
        <v>297831.3527667881</v>
      </c>
    </row>
    <row r="124" spans="1:73" x14ac:dyDescent="0.25">
      <c r="A124" s="6" t="s">
        <v>32</v>
      </c>
      <c r="B124" s="6" t="s">
        <v>18</v>
      </c>
      <c r="C124" s="18" t="s">
        <v>240</v>
      </c>
      <c r="D124" s="7" t="s">
        <v>241</v>
      </c>
      <c r="E124" s="7" t="s">
        <v>21</v>
      </c>
      <c r="F124" s="7" t="s">
        <v>242</v>
      </c>
      <c r="G124" s="7" t="s">
        <v>23</v>
      </c>
      <c r="H124" s="7" t="s">
        <v>250</v>
      </c>
      <c r="I124" s="6" t="s">
        <v>76</v>
      </c>
      <c r="J124" s="7" t="s">
        <v>244</v>
      </c>
      <c r="K124" s="6" t="s">
        <v>275</v>
      </c>
      <c r="L124" s="9">
        <v>14000</v>
      </c>
      <c r="M124" s="10">
        <v>15400.000000000002</v>
      </c>
      <c r="N124" s="6" t="s">
        <v>275</v>
      </c>
      <c r="O124" s="11">
        <v>0</v>
      </c>
      <c r="P124" s="11"/>
      <c r="Q124" s="11"/>
      <c r="R124" s="11"/>
      <c r="S124" s="11"/>
      <c r="T124" s="11"/>
      <c r="U124" s="11"/>
      <c r="V124" s="11"/>
      <c r="W124" s="11">
        <v>2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>
        <v>2.1196959999999998</v>
      </c>
      <c r="AJ124" s="11"/>
      <c r="AK124" s="11"/>
      <c r="AL124" s="11"/>
      <c r="AM124" s="10">
        <v>2</v>
      </c>
      <c r="AN124" s="10">
        <v>2.1196959999999998</v>
      </c>
      <c r="AO124" s="11">
        <v>2</v>
      </c>
      <c r="AP124" s="11">
        <v>2.3810074237344159</v>
      </c>
      <c r="AQ124" s="11">
        <v>2.523505956030073</v>
      </c>
      <c r="AR124" s="10">
        <v>0</v>
      </c>
      <c r="AS124" s="10">
        <v>0</v>
      </c>
      <c r="AT124" s="10">
        <v>0</v>
      </c>
      <c r="AU124" s="10">
        <v>0</v>
      </c>
      <c r="AV124" s="10">
        <v>0</v>
      </c>
      <c r="AW124" s="10">
        <v>0</v>
      </c>
      <c r="AX124" s="10">
        <v>0</v>
      </c>
      <c r="AY124" s="10">
        <v>0</v>
      </c>
      <c r="AZ124" s="10">
        <v>27712.308137870961</v>
      </c>
      <c r="BA124" s="10">
        <v>0</v>
      </c>
      <c r="BB124" s="10">
        <v>0</v>
      </c>
      <c r="BC124" s="10">
        <v>0</v>
      </c>
      <c r="BD124" s="10">
        <v>0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10">
        <v>29370.834355306262</v>
      </c>
      <c r="BM124" s="10">
        <v>0</v>
      </c>
      <c r="BN124" s="10">
        <v>0</v>
      </c>
      <c r="BO124" s="10">
        <v>0</v>
      </c>
      <c r="BP124" s="12">
        <v>27712.308137870961</v>
      </c>
      <c r="BQ124" s="12">
        <v>29370.834355306262</v>
      </c>
      <c r="BR124" s="12">
        <v>27712.308137870961</v>
      </c>
      <c r="BS124" s="12">
        <v>32991.605702543216</v>
      </c>
      <c r="BT124" s="12">
        <v>34966.08732062902</v>
      </c>
      <c r="BU124" s="12">
        <f t="shared" si="2"/>
        <v>152753.14365422042</v>
      </c>
    </row>
    <row r="125" spans="1:73" x14ac:dyDescent="0.25">
      <c r="A125" s="6" t="s">
        <v>34</v>
      </c>
      <c r="B125" s="6" t="s">
        <v>18</v>
      </c>
      <c r="C125" s="18" t="s">
        <v>240</v>
      </c>
      <c r="D125" s="7" t="s">
        <v>241</v>
      </c>
      <c r="E125" s="7" t="s">
        <v>21</v>
      </c>
      <c r="F125" s="7" t="s">
        <v>242</v>
      </c>
      <c r="G125" s="7" t="s">
        <v>23</v>
      </c>
      <c r="H125" s="7" t="s">
        <v>251</v>
      </c>
      <c r="I125" s="6" t="s">
        <v>252</v>
      </c>
      <c r="J125" s="7" t="s">
        <v>244</v>
      </c>
      <c r="K125" s="6" t="s">
        <v>275</v>
      </c>
      <c r="L125" s="9">
        <v>14000</v>
      </c>
      <c r="M125" s="10">
        <v>15400.000000000002</v>
      </c>
      <c r="N125" s="6" t="s">
        <v>275</v>
      </c>
      <c r="O125" s="11">
        <v>0</v>
      </c>
      <c r="P125" s="11"/>
      <c r="Q125" s="11"/>
      <c r="R125" s="11"/>
      <c r="S125" s="11"/>
      <c r="T125" s="11"/>
      <c r="U125" s="11"/>
      <c r="V125" s="11"/>
      <c r="W125" s="11">
        <v>2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>
        <v>2.1196959999999998</v>
      </c>
      <c r="AJ125" s="11"/>
      <c r="AK125" s="11"/>
      <c r="AL125" s="11"/>
      <c r="AM125" s="10">
        <v>2</v>
      </c>
      <c r="AN125" s="10">
        <v>2.1196959999999998</v>
      </c>
      <c r="AO125" s="11">
        <v>2</v>
      </c>
      <c r="AP125" s="11">
        <v>2.3810074237344159</v>
      </c>
      <c r="AQ125" s="11">
        <v>2.523505956030073</v>
      </c>
      <c r="AR125" s="10">
        <v>0</v>
      </c>
      <c r="AS125" s="10">
        <v>0</v>
      </c>
      <c r="AT125" s="10">
        <v>0</v>
      </c>
      <c r="AU125" s="10">
        <v>0</v>
      </c>
      <c r="AV125" s="10">
        <v>0</v>
      </c>
      <c r="AW125" s="10">
        <v>0</v>
      </c>
      <c r="AX125" s="10">
        <v>0</v>
      </c>
      <c r="AY125" s="10">
        <v>0</v>
      </c>
      <c r="AZ125" s="10">
        <v>27712.308137870961</v>
      </c>
      <c r="BA125" s="10">
        <v>0</v>
      </c>
      <c r="BB125" s="10">
        <v>0</v>
      </c>
      <c r="BC125" s="10">
        <v>0</v>
      </c>
      <c r="BD125" s="10">
        <v>0</v>
      </c>
      <c r="BE125" s="10">
        <v>0</v>
      </c>
      <c r="BF125" s="10">
        <v>0</v>
      </c>
      <c r="BG125" s="10">
        <v>0</v>
      </c>
      <c r="BH125" s="10">
        <v>0</v>
      </c>
      <c r="BI125" s="10">
        <v>0</v>
      </c>
      <c r="BJ125" s="10">
        <v>0</v>
      </c>
      <c r="BK125" s="10">
        <v>0</v>
      </c>
      <c r="BL125" s="10">
        <v>29370.834355306262</v>
      </c>
      <c r="BM125" s="10">
        <v>0</v>
      </c>
      <c r="BN125" s="10">
        <v>0</v>
      </c>
      <c r="BO125" s="10">
        <v>0</v>
      </c>
      <c r="BP125" s="12">
        <v>27712.308137870961</v>
      </c>
      <c r="BQ125" s="12">
        <v>29370.834355306262</v>
      </c>
      <c r="BR125" s="12">
        <v>27712.308137870961</v>
      </c>
      <c r="BS125" s="12">
        <v>32991.605702543216</v>
      </c>
      <c r="BT125" s="12">
        <v>34966.08732062902</v>
      </c>
      <c r="BU125" s="12">
        <f t="shared" si="2"/>
        <v>152753.14365422042</v>
      </c>
    </row>
    <row r="126" spans="1:73" x14ac:dyDescent="0.25">
      <c r="A126" s="6" t="s">
        <v>34</v>
      </c>
      <c r="B126" s="6" t="s">
        <v>18</v>
      </c>
      <c r="C126" s="18" t="s">
        <v>240</v>
      </c>
      <c r="D126" s="7" t="s">
        <v>241</v>
      </c>
      <c r="E126" s="7" t="s">
        <v>21</v>
      </c>
      <c r="F126" s="7" t="s">
        <v>242</v>
      </c>
      <c r="G126" s="7" t="s">
        <v>23</v>
      </c>
      <c r="H126" s="7" t="s">
        <v>251</v>
      </c>
      <c r="I126" s="6" t="s">
        <v>76</v>
      </c>
      <c r="J126" s="7" t="s">
        <v>244</v>
      </c>
      <c r="K126" s="6" t="s">
        <v>275</v>
      </c>
      <c r="L126" s="9">
        <v>14000</v>
      </c>
      <c r="M126" s="10">
        <v>15400.000000000002</v>
      </c>
      <c r="N126" s="6" t="s">
        <v>275</v>
      </c>
      <c r="O126" s="11">
        <v>0</v>
      </c>
      <c r="P126" s="11"/>
      <c r="Q126" s="11"/>
      <c r="R126" s="11"/>
      <c r="S126" s="11"/>
      <c r="T126" s="11"/>
      <c r="U126" s="11"/>
      <c r="V126" s="11"/>
      <c r="W126" s="11">
        <v>9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>
        <v>9.5386319999999998</v>
      </c>
      <c r="AJ126" s="11"/>
      <c r="AK126" s="11"/>
      <c r="AL126" s="11"/>
      <c r="AM126" s="10">
        <v>9</v>
      </c>
      <c r="AN126" s="10">
        <v>9.5386319999999998</v>
      </c>
      <c r="AO126" s="11">
        <v>10.109500047935999</v>
      </c>
      <c r="AP126" s="11">
        <v>10.71453340680487</v>
      </c>
      <c r="AQ126" s="11">
        <v>11.355776802135328</v>
      </c>
      <c r="AR126" s="10">
        <v>0</v>
      </c>
      <c r="AS126" s="10">
        <v>0</v>
      </c>
      <c r="AT126" s="10">
        <v>0</v>
      </c>
      <c r="AU126" s="10">
        <v>0</v>
      </c>
      <c r="AV126" s="10">
        <v>0</v>
      </c>
      <c r="AW126" s="10">
        <v>0</v>
      </c>
      <c r="AX126" s="10">
        <v>0</v>
      </c>
      <c r="AY126" s="10">
        <v>0</v>
      </c>
      <c r="AZ126" s="10">
        <v>124705.38662041933</v>
      </c>
      <c r="BA126" s="10">
        <v>0</v>
      </c>
      <c r="BB126" s="10">
        <v>0</v>
      </c>
      <c r="BC126" s="10">
        <v>0</v>
      </c>
      <c r="BD126" s="10">
        <v>0</v>
      </c>
      <c r="BE126" s="10">
        <v>0</v>
      </c>
      <c r="BF126" s="10">
        <v>0</v>
      </c>
      <c r="BG126" s="10">
        <v>0</v>
      </c>
      <c r="BH126" s="10">
        <v>0</v>
      </c>
      <c r="BI126" s="10">
        <v>0</v>
      </c>
      <c r="BJ126" s="10">
        <v>0</v>
      </c>
      <c r="BK126" s="10">
        <v>0</v>
      </c>
      <c r="BL126" s="10">
        <v>132168.75459887818</v>
      </c>
      <c r="BM126" s="10">
        <v>0</v>
      </c>
      <c r="BN126" s="10">
        <v>0</v>
      </c>
      <c r="BO126" s="10">
        <v>0</v>
      </c>
      <c r="BP126" s="12">
        <v>124705.38662041933</v>
      </c>
      <c r="BQ126" s="12">
        <v>132168.75459887818</v>
      </c>
      <c r="BR126" s="12">
        <v>140078.79022411181</v>
      </c>
      <c r="BS126" s="12">
        <v>148462.22566144445</v>
      </c>
      <c r="BT126" s="12">
        <v>157347.39294283057</v>
      </c>
      <c r="BU126" s="12">
        <f t="shared" si="2"/>
        <v>702762.55004768434</v>
      </c>
    </row>
    <row r="127" spans="1:73" x14ac:dyDescent="0.25">
      <c r="A127" s="6" t="s">
        <v>38</v>
      </c>
      <c r="B127" s="6" t="s">
        <v>18</v>
      </c>
      <c r="C127" s="18" t="s">
        <v>240</v>
      </c>
      <c r="D127" s="7" t="s">
        <v>241</v>
      </c>
      <c r="E127" s="7" t="s">
        <v>21</v>
      </c>
      <c r="F127" s="7" t="s">
        <v>242</v>
      </c>
      <c r="G127" s="7" t="s">
        <v>23</v>
      </c>
      <c r="H127" s="7" t="s">
        <v>243</v>
      </c>
      <c r="I127" s="6" t="s">
        <v>76</v>
      </c>
      <c r="J127" s="7" t="s">
        <v>244</v>
      </c>
      <c r="K127" s="6" t="s">
        <v>275</v>
      </c>
      <c r="L127" s="9">
        <v>14000</v>
      </c>
      <c r="M127" s="10">
        <v>15400.000000000002</v>
      </c>
      <c r="N127" s="6" t="s">
        <v>275</v>
      </c>
      <c r="O127" s="11">
        <v>0</v>
      </c>
      <c r="P127" s="11"/>
      <c r="Q127" s="11"/>
      <c r="R127" s="11"/>
      <c r="S127" s="11"/>
      <c r="T127" s="11"/>
      <c r="U127" s="11"/>
      <c r="V127" s="11"/>
      <c r="W127" s="11">
        <v>1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>
        <v>1.0598479999999999</v>
      </c>
      <c r="AJ127" s="11"/>
      <c r="AK127" s="11"/>
      <c r="AL127" s="11"/>
      <c r="AM127" s="10">
        <v>1</v>
      </c>
      <c r="AN127" s="10">
        <v>1.0598479999999999</v>
      </c>
      <c r="AO127" s="11">
        <v>1</v>
      </c>
      <c r="AP127" s="11">
        <v>1</v>
      </c>
      <c r="AQ127" s="11">
        <v>1</v>
      </c>
      <c r="AR127" s="10">
        <v>0</v>
      </c>
      <c r="AS127" s="10">
        <v>0</v>
      </c>
      <c r="AT127" s="10">
        <v>0</v>
      </c>
      <c r="AU127" s="10">
        <v>0</v>
      </c>
      <c r="AV127" s="10">
        <v>0</v>
      </c>
      <c r="AW127" s="10">
        <v>0</v>
      </c>
      <c r="AX127" s="10">
        <v>0</v>
      </c>
      <c r="AY127" s="10">
        <v>0</v>
      </c>
      <c r="AZ127" s="10">
        <v>13856.154068935481</v>
      </c>
      <c r="BA127" s="10">
        <v>0</v>
      </c>
      <c r="BB127" s="10">
        <v>0</v>
      </c>
      <c r="BC127" s="10">
        <v>0</v>
      </c>
      <c r="BD127" s="10">
        <v>0</v>
      </c>
      <c r="BE127" s="10">
        <v>0</v>
      </c>
      <c r="BF127" s="10">
        <v>0</v>
      </c>
      <c r="BG127" s="10">
        <v>0</v>
      </c>
      <c r="BH127" s="10">
        <v>0</v>
      </c>
      <c r="BI127" s="10">
        <v>0</v>
      </c>
      <c r="BJ127" s="10">
        <v>0</v>
      </c>
      <c r="BK127" s="10">
        <v>0</v>
      </c>
      <c r="BL127" s="10">
        <v>14685.417177653131</v>
      </c>
      <c r="BM127" s="10">
        <v>0</v>
      </c>
      <c r="BN127" s="10">
        <v>0</v>
      </c>
      <c r="BO127" s="10">
        <v>0</v>
      </c>
      <c r="BP127" s="12">
        <v>13856.154068935481</v>
      </c>
      <c r="BQ127" s="12">
        <v>14685.417177653131</v>
      </c>
      <c r="BR127" s="12">
        <v>13856.154068935481</v>
      </c>
      <c r="BS127" s="12">
        <v>13856.154068935481</v>
      </c>
      <c r="BT127" s="12">
        <v>13856.154068935481</v>
      </c>
      <c r="BU127" s="12">
        <f t="shared" si="2"/>
        <v>70110.033453395052</v>
      </c>
    </row>
    <row r="128" spans="1:73" x14ac:dyDescent="0.25">
      <c r="A128" s="6" t="s">
        <v>38</v>
      </c>
      <c r="B128" s="6" t="s">
        <v>18</v>
      </c>
      <c r="C128" s="18" t="s">
        <v>240</v>
      </c>
      <c r="D128" s="7" t="s">
        <v>241</v>
      </c>
      <c r="E128" s="7" t="s">
        <v>21</v>
      </c>
      <c r="F128" s="7" t="s">
        <v>242</v>
      </c>
      <c r="G128" s="7" t="s">
        <v>23</v>
      </c>
      <c r="H128" s="7" t="s">
        <v>243</v>
      </c>
      <c r="I128" s="6" t="s">
        <v>252</v>
      </c>
      <c r="J128" s="7" t="s">
        <v>244</v>
      </c>
      <c r="K128" s="6" t="s">
        <v>275</v>
      </c>
      <c r="L128" s="9">
        <v>14000</v>
      </c>
      <c r="M128" s="10">
        <v>15400.000000000002</v>
      </c>
      <c r="N128" s="6" t="s">
        <v>275</v>
      </c>
      <c r="O128" s="11">
        <v>0</v>
      </c>
      <c r="P128" s="11"/>
      <c r="Q128" s="11"/>
      <c r="R128" s="11"/>
      <c r="S128" s="11"/>
      <c r="T128" s="11"/>
      <c r="U128" s="11"/>
      <c r="V128" s="11"/>
      <c r="W128" s="11">
        <v>4</v>
      </c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>
        <v>4.2393919999999996</v>
      </c>
      <c r="AJ128" s="11"/>
      <c r="AK128" s="11"/>
      <c r="AL128" s="11"/>
      <c r="AM128" s="10">
        <v>4</v>
      </c>
      <c r="AN128" s="10">
        <v>4.2393919999999996</v>
      </c>
      <c r="AO128" s="11">
        <v>4.4931111324159998</v>
      </c>
      <c r="AP128" s="11">
        <v>4.7620148474688317</v>
      </c>
      <c r="AQ128" s="11">
        <v>5.047011912060146</v>
      </c>
      <c r="AR128" s="10">
        <v>0</v>
      </c>
      <c r="AS128" s="10">
        <v>0</v>
      </c>
      <c r="AT128" s="10">
        <v>0</v>
      </c>
      <c r="AU128" s="10">
        <v>0</v>
      </c>
      <c r="AV128" s="10">
        <v>0</v>
      </c>
      <c r="AW128" s="10">
        <v>0</v>
      </c>
      <c r="AX128" s="10">
        <v>0</v>
      </c>
      <c r="AY128" s="10">
        <v>0</v>
      </c>
      <c r="AZ128" s="10">
        <v>55424.616275741922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10">
        <v>0</v>
      </c>
      <c r="BG128" s="10">
        <v>0</v>
      </c>
      <c r="BH128" s="10">
        <v>0</v>
      </c>
      <c r="BI128" s="10">
        <v>0</v>
      </c>
      <c r="BJ128" s="10">
        <v>0</v>
      </c>
      <c r="BK128" s="10">
        <v>0</v>
      </c>
      <c r="BL128" s="10">
        <v>58741.668710612525</v>
      </c>
      <c r="BM128" s="10">
        <v>0</v>
      </c>
      <c r="BN128" s="10">
        <v>0</v>
      </c>
      <c r="BO128" s="10">
        <v>0</v>
      </c>
      <c r="BP128" s="12">
        <v>55424.616275741922</v>
      </c>
      <c r="BQ128" s="12">
        <v>58741.668710612525</v>
      </c>
      <c r="BR128" s="12">
        <v>62257.240099605267</v>
      </c>
      <c r="BS128" s="12">
        <v>65983.211405086433</v>
      </c>
      <c r="BT128" s="12">
        <v>69932.17464125804</v>
      </c>
      <c r="BU128" s="12">
        <f t="shared" si="2"/>
        <v>312338.91113230417</v>
      </c>
    </row>
    <row r="129" spans="1:73" x14ac:dyDescent="0.25">
      <c r="A129" s="6" t="s">
        <v>96</v>
      </c>
      <c r="B129" s="6" t="s">
        <v>18</v>
      </c>
      <c r="C129" s="18" t="s">
        <v>240</v>
      </c>
      <c r="D129" s="7" t="s">
        <v>241</v>
      </c>
      <c r="E129" s="7" t="s">
        <v>21</v>
      </c>
      <c r="F129" s="7" t="s">
        <v>242</v>
      </c>
      <c r="G129" s="7" t="s">
        <v>23</v>
      </c>
      <c r="H129" s="7" t="s">
        <v>262</v>
      </c>
      <c r="I129" s="6" t="s">
        <v>76</v>
      </c>
      <c r="J129" s="7" t="s">
        <v>244</v>
      </c>
      <c r="K129" s="6" t="s">
        <v>275</v>
      </c>
      <c r="L129" s="9">
        <v>14000</v>
      </c>
      <c r="M129" s="10">
        <v>15400.000000000002</v>
      </c>
      <c r="N129" s="6" t="s">
        <v>275</v>
      </c>
      <c r="O129" s="11">
        <v>0</v>
      </c>
      <c r="P129" s="11"/>
      <c r="Q129" s="11"/>
      <c r="R129" s="11"/>
      <c r="S129" s="11"/>
      <c r="T129" s="11"/>
      <c r="U129" s="11"/>
      <c r="V129" s="11"/>
      <c r="W129" s="11">
        <v>1</v>
      </c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>
        <v>1.0598479999999999</v>
      </c>
      <c r="AJ129" s="11"/>
      <c r="AK129" s="11"/>
      <c r="AL129" s="11"/>
      <c r="AM129" s="10">
        <v>1</v>
      </c>
      <c r="AN129" s="10">
        <v>1.0598479999999999</v>
      </c>
      <c r="AO129" s="11">
        <v>1</v>
      </c>
      <c r="AP129" s="11">
        <v>1</v>
      </c>
      <c r="AQ129" s="11">
        <v>1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13856.154068935481</v>
      </c>
      <c r="BA129" s="10">
        <v>0</v>
      </c>
      <c r="BB129" s="10">
        <v>0</v>
      </c>
      <c r="BC129" s="10">
        <v>0</v>
      </c>
      <c r="BD129" s="10">
        <v>0</v>
      </c>
      <c r="BE129" s="10">
        <v>0</v>
      </c>
      <c r="BF129" s="10">
        <v>0</v>
      </c>
      <c r="BG129" s="10">
        <v>0</v>
      </c>
      <c r="BH129" s="10">
        <v>0</v>
      </c>
      <c r="BI129" s="10">
        <v>0</v>
      </c>
      <c r="BJ129" s="10">
        <v>0</v>
      </c>
      <c r="BK129" s="10">
        <v>0</v>
      </c>
      <c r="BL129" s="10">
        <v>14685.417177653131</v>
      </c>
      <c r="BM129" s="10">
        <v>0</v>
      </c>
      <c r="BN129" s="10">
        <v>0</v>
      </c>
      <c r="BO129" s="10">
        <v>0</v>
      </c>
      <c r="BP129" s="12">
        <v>13856.154068935481</v>
      </c>
      <c r="BQ129" s="12">
        <v>14685.417177653131</v>
      </c>
      <c r="BR129" s="12">
        <v>13856.154068935481</v>
      </c>
      <c r="BS129" s="12">
        <v>13856.154068935481</v>
      </c>
      <c r="BT129" s="12">
        <v>13856.154068935481</v>
      </c>
      <c r="BU129" s="12">
        <f t="shared" si="2"/>
        <v>70110.033453395052</v>
      </c>
    </row>
    <row r="130" spans="1:73" x14ac:dyDescent="0.25">
      <c r="A130" s="6" t="s">
        <v>40</v>
      </c>
      <c r="B130" s="6" t="s">
        <v>18</v>
      </c>
      <c r="C130" s="18" t="s">
        <v>240</v>
      </c>
      <c r="D130" s="7" t="s">
        <v>241</v>
      </c>
      <c r="E130" s="7" t="s">
        <v>21</v>
      </c>
      <c r="F130" s="7" t="s">
        <v>242</v>
      </c>
      <c r="G130" s="7" t="s">
        <v>23</v>
      </c>
      <c r="H130" s="7" t="s">
        <v>256</v>
      </c>
      <c r="I130" s="6" t="s">
        <v>76</v>
      </c>
      <c r="J130" s="7" t="s">
        <v>244</v>
      </c>
      <c r="K130" s="6" t="s">
        <v>275</v>
      </c>
      <c r="L130" s="9">
        <v>14000</v>
      </c>
      <c r="M130" s="10">
        <v>15400.000000000002</v>
      </c>
      <c r="N130" s="6" t="s">
        <v>275</v>
      </c>
      <c r="O130" s="11">
        <v>0</v>
      </c>
      <c r="P130" s="11"/>
      <c r="Q130" s="11"/>
      <c r="R130" s="11"/>
      <c r="S130" s="11"/>
      <c r="T130" s="11"/>
      <c r="U130" s="11"/>
      <c r="V130" s="11"/>
      <c r="W130" s="11">
        <v>2</v>
      </c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>
        <v>2.1196959999999998</v>
      </c>
      <c r="AJ130" s="11"/>
      <c r="AK130" s="11"/>
      <c r="AL130" s="11"/>
      <c r="AM130" s="10">
        <v>2</v>
      </c>
      <c r="AN130" s="10">
        <v>2.1196959999999998</v>
      </c>
      <c r="AO130" s="11">
        <v>2</v>
      </c>
      <c r="AP130" s="11">
        <v>2.3810074237344159</v>
      </c>
      <c r="AQ130" s="11">
        <v>2.523505956030073</v>
      </c>
      <c r="AR130" s="10">
        <v>0</v>
      </c>
      <c r="AS130" s="10">
        <v>0</v>
      </c>
      <c r="AT130" s="10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  <c r="AZ130" s="10">
        <v>27712.308137870961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29370.834355306262</v>
      </c>
      <c r="BM130" s="10">
        <v>0</v>
      </c>
      <c r="BN130" s="10">
        <v>0</v>
      </c>
      <c r="BO130" s="10">
        <v>0</v>
      </c>
      <c r="BP130" s="12">
        <v>27712.308137870961</v>
      </c>
      <c r="BQ130" s="12">
        <v>29370.834355306262</v>
      </c>
      <c r="BR130" s="12">
        <v>27712.308137870961</v>
      </c>
      <c r="BS130" s="12">
        <v>32991.605702543216</v>
      </c>
      <c r="BT130" s="12">
        <v>34966.08732062902</v>
      </c>
      <c r="BU130" s="12">
        <f t="shared" si="2"/>
        <v>152753.14365422042</v>
      </c>
    </row>
    <row r="131" spans="1:73" x14ac:dyDescent="0.25">
      <c r="A131" s="6" t="s">
        <v>40</v>
      </c>
      <c r="B131" s="6" t="s">
        <v>18</v>
      </c>
      <c r="C131" s="18" t="s">
        <v>240</v>
      </c>
      <c r="D131" s="7" t="s">
        <v>241</v>
      </c>
      <c r="E131" s="7" t="s">
        <v>21</v>
      </c>
      <c r="F131" s="7" t="s">
        <v>242</v>
      </c>
      <c r="G131" s="7" t="s">
        <v>23</v>
      </c>
      <c r="H131" s="7" t="s">
        <v>256</v>
      </c>
      <c r="I131" s="6" t="s">
        <v>252</v>
      </c>
      <c r="J131" s="7" t="s">
        <v>244</v>
      </c>
      <c r="K131" s="6" t="s">
        <v>275</v>
      </c>
      <c r="L131" s="9">
        <v>14000</v>
      </c>
      <c r="M131" s="10">
        <v>15400.000000000002</v>
      </c>
      <c r="N131" s="6" t="s">
        <v>275</v>
      </c>
      <c r="O131" s="11">
        <v>0</v>
      </c>
      <c r="P131" s="11"/>
      <c r="Q131" s="11"/>
      <c r="R131" s="11"/>
      <c r="S131" s="11"/>
      <c r="T131" s="11"/>
      <c r="U131" s="11"/>
      <c r="V131" s="11"/>
      <c r="W131" s="11">
        <v>9</v>
      </c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>
        <v>9.5386319999999998</v>
      </c>
      <c r="AJ131" s="11"/>
      <c r="AK131" s="11"/>
      <c r="AL131" s="11"/>
      <c r="AM131" s="10">
        <v>9</v>
      </c>
      <c r="AN131" s="10">
        <v>9.5386319999999998</v>
      </c>
      <c r="AO131" s="11">
        <v>10.109500047935999</v>
      </c>
      <c r="AP131" s="11">
        <v>10.71453340680487</v>
      </c>
      <c r="AQ131" s="11">
        <v>11.355776802135328</v>
      </c>
      <c r="AR131" s="10">
        <v>0</v>
      </c>
      <c r="AS131" s="10">
        <v>0</v>
      </c>
      <c r="AT131" s="10">
        <v>0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10">
        <v>124705.38662041933</v>
      </c>
      <c r="BA131" s="10">
        <v>0</v>
      </c>
      <c r="BB131" s="10">
        <v>0</v>
      </c>
      <c r="BC131" s="10">
        <v>0</v>
      </c>
      <c r="BD131" s="10">
        <v>0</v>
      </c>
      <c r="BE131" s="10">
        <v>0</v>
      </c>
      <c r="BF131" s="10">
        <v>0</v>
      </c>
      <c r="BG131" s="10">
        <v>0</v>
      </c>
      <c r="BH131" s="10">
        <v>0</v>
      </c>
      <c r="BI131" s="10">
        <v>0</v>
      </c>
      <c r="BJ131" s="10">
        <v>0</v>
      </c>
      <c r="BK131" s="10">
        <v>0</v>
      </c>
      <c r="BL131" s="10">
        <v>132168.75459887818</v>
      </c>
      <c r="BM131" s="10">
        <v>0</v>
      </c>
      <c r="BN131" s="10">
        <v>0</v>
      </c>
      <c r="BO131" s="10">
        <v>0</v>
      </c>
      <c r="BP131" s="12">
        <v>124705.38662041933</v>
      </c>
      <c r="BQ131" s="12">
        <v>132168.75459887818</v>
      </c>
      <c r="BR131" s="12">
        <v>140078.79022411181</v>
      </c>
      <c r="BS131" s="12">
        <v>148462.22566144445</v>
      </c>
      <c r="BT131" s="12">
        <v>157347.39294283057</v>
      </c>
      <c r="BU131" s="12">
        <f t="shared" si="2"/>
        <v>702762.55004768434</v>
      </c>
    </row>
    <row r="132" spans="1:73" x14ac:dyDescent="0.25">
      <c r="A132" s="6" t="s">
        <v>98</v>
      </c>
      <c r="B132" s="6" t="s">
        <v>18</v>
      </c>
      <c r="C132" s="18" t="s">
        <v>240</v>
      </c>
      <c r="D132" s="7" t="s">
        <v>241</v>
      </c>
      <c r="E132" s="7" t="s">
        <v>21</v>
      </c>
      <c r="F132" s="7" t="s">
        <v>242</v>
      </c>
      <c r="G132" s="7" t="s">
        <v>23</v>
      </c>
      <c r="H132" s="7" t="s">
        <v>257</v>
      </c>
      <c r="I132" s="6" t="s">
        <v>76</v>
      </c>
      <c r="J132" s="7" t="s">
        <v>244</v>
      </c>
      <c r="K132" s="6" t="s">
        <v>275</v>
      </c>
      <c r="L132" s="9">
        <v>14000</v>
      </c>
      <c r="M132" s="10">
        <v>15400.000000000002</v>
      </c>
      <c r="N132" s="6" t="s">
        <v>275</v>
      </c>
      <c r="O132" s="11">
        <v>0</v>
      </c>
      <c r="P132" s="11"/>
      <c r="Q132" s="11"/>
      <c r="R132" s="11"/>
      <c r="S132" s="11"/>
      <c r="T132" s="11"/>
      <c r="U132" s="11"/>
      <c r="V132" s="11"/>
      <c r="W132" s="11">
        <v>1</v>
      </c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>
        <v>1.0598479999999999</v>
      </c>
      <c r="AJ132" s="11"/>
      <c r="AK132" s="11"/>
      <c r="AL132" s="11"/>
      <c r="AM132" s="10">
        <v>1</v>
      </c>
      <c r="AN132" s="10">
        <v>1.0598479999999999</v>
      </c>
      <c r="AO132" s="11">
        <v>1</v>
      </c>
      <c r="AP132" s="11">
        <v>1</v>
      </c>
      <c r="AQ132" s="11">
        <v>1</v>
      </c>
      <c r="AR132" s="10">
        <v>0</v>
      </c>
      <c r="AS132" s="10">
        <v>0</v>
      </c>
      <c r="AT132" s="10">
        <v>0</v>
      </c>
      <c r="AU132" s="10">
        <v>0</v>
      </c>
      <c r="AV132" s="10">
        <v>0</v>
      </c>
      <c r="AW132" s="10">
        <v>0</v>
      </c>
      <c r="AX132" s="10">
        <v>0</v>
      </c>
      <c r="AY132" s="10">
        <v>0</v>
      </c>
      <c r="AZ132" s="10">
        <v>13856.154068935481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  <c r="BJ132" s="10">
        <v>0</v>
      </c>
      <c r="BK132" s="10">
        <v>0</v>
      </c>
      <c r="BL132" s="10">
        <v>14685.417177653131</v>
      </c>
      <c r="BM132" s="10">
        <v>0</v>
      </c>
      <c r="BN132" s="10">
        <v>0</v>
      </c>
      <c r="BO132" s="10">
        <v>0</v>
      </c>
      <c r="BP132" s="12">
        <v>13856.154068935481</v>
      </c>
      <c r="BQ132" s="12">
        <v>14685.417177653131</v>
      </c>
      <c r="BR132" s="12">
        <v>13856.154068935481</v>
      </c>
      <c r="BS132" s="12">
        <v>13856.154068935481</v>
      </c>
      <c r="BT132" s="12">
        <v>13856.154068935481</v>
      </c>
      <c r="BU132" s="12">
        <f t="shared" si="2"/>
        <v>70110.033453395052</v>
      </c>
    </row>
    <row r="133" spans="1:73" x14ac:dyDescent="0.25">
      <c r="A133" s="6" t="s">
        <v>42</v>
      </c>
      <c r="B133" s="6" t="s">
        <v>18</v>
      </c>
      <c r="C133" s="18" t="s">
        <v>240</v>
      </c>
      <c r="D133" s="7" t="s">
        <v>241</v>
      </c>
      <c r="E133" s="7" t="s">
        <v>21</v>
      </c>
      <c r="F133" s="7" t="s">
        <v>242</v>
      </c>
      <c r="G133" s="7" t="s">
        <v>23</v>
      </c>
      <c r="H133" s="7" t="s">
        <v>260</v>
      </c>
      <c r="I133" s="6" t="s">
        <v>76</v>
      </c>
      <c r="J133" s="7" t="s">
        <v>244</v>
      </c>
      <c r="K133" s="6" t="s">
        <v>275</v>
      </c>
      <c r="L133" s="9">
        <v>14000</v>
      </c>
      <c r="M133" s="10">
        <v>15400.000000000002</v>
      </c>
      <c r="N133" s="6" t="s">
        <v>275</v>
      </c>
      <c r="O133" s="11">
        <v>0</v>
      </c>
      <c r="P133" s="11"/>
      <c r="Q133" s="11"/>
      <c r="R133" s="11"/>
      <c r="S133" s="11"/>
      <c r="T133" s="11"/>
      <c r="U133" s="11"/>
      <c r="V133" s="11"/>
      <c r="W133" s="11">
        <v>1</v>
      </c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>
        <v>1.0598479999999999</v>
      </c>
      <c r="AJ133" s="11"/>
      <c r="AK133" s="11"/>
      <c r="AL133" s="11"/>
      <c r="AM133" s="10">
        <v>1</v>
      </c>
      <c r="AN133" s="10">
        <v>1.0598479999999999</v>
      </c>
      <c r="AO133" s="11">
        <v>1</v>
      </c>
      <c r="AP133" s="11">
        <v>1</v>
      </c>
      <c r="AQ133" s="11">
        <v>1</v>
      </c>
      <c r="AR133" s="10">
        <v>0</v>
      </c>
      <c r="AS133" s="10">
        <v>0</v>
      </c>
      <c r="AT133" s="10">
        <v>0</v>
      </c>
      <c r="AU133" s="10">
        <v>0</v>
      </c>
      <c r="AV133" s="10">
        <v>0</v>
      </c>
      <c r="AW133" s="10">
        <v>0</v>
      </c>
      <c r="AX133" s="10">
        <v>0</v>
      </c>
      <c r="AY133" s="10">
        <v>0</v>
      </c>
      <c r="AZ133" s="10">
        <v>13856.154068935481</v>
      </c>
      <c r="BA133" s="10">
        <v>0</v>
      </c>
      <c r="BB133" s="10">
        <v>0</v>
      </c>
      <c r="BC133" s="10">
        <v>0</v>
      </c>
      <c r="BD133" s="10">
        <v>0</v>
      </c>
      <c r="BE133" s="10">
        <v>0</v>
      </c>
      <c r="BF133" s="10">
        <v>0</v>
      </c>
      <c r="BG133" s="10">
        <v>0</v>
      </c>
      <c r="BH133" s="10">
        <v>0</v>
      </c>
      <c r="BI133" s="10">
        <v>0</v>
      </c>
      <c r="BJ133" s="10">
        <v>0</v>
      </c>
      <c r="BK133" s="10">
        <v>0</v>
      </c>
      <c r="BL133" s="10">
        <v>14685.417177653131</v>
      </c>
      <c r="BM133" s="10">
        <v>0</v>
      </c>
      <c r="BN133" s="10">
        <v>0</v>
      </c>
      <c r="BO133" s="10">
        <v>0</v>
      </c>
      <c r="BP133" s="12">
        <v>13856.154068935481</v>
      </c>
      <c r="BQ133" s="12">
        <v>14685.417177653131</v>
      </c>
      <c r="BR133" s="12">
        <v>13856.154068935481</v>
      </c>
      <c r="BS133" s="12">
        <v>13856.154068935481</v>
      </c>
      <c r="BT133" s="12">
        <v>13856.154068935481</v>
      </c>
      <c r="BU133" s="12">
        <f t="shared" ref="BU133:BU196" si="3">SUM(BP133:BT133)</f>
        <v>70110.033453395052</v>
      </c>
    </row>
    <row r="134" spans="1:73" x14ac:dyDescent="0.25">
      <c r="A134" s="6" t="s">
        <v>42</v>
      </c>
      <c r="B134" s="6" t="s">
        <v>18</v>
      </c>
      <c r="C134" s="18" t="s">
        <v>240</v>
      </c>
      <c r="D134" s="7" t="s">
        <v>241</v>
      </c>
      <c r="E134" s="7" t="s">
        <v>21</v>
      </c>
      <c r="F134" s="7" t="s">
        <v>242</v>
      </c>
      <c r="G134" s="7" t="s">
        <v>23</v>
      </c>
      <c r="H134" s="7" t="s">
        <v>260</v>
      </c>
      <c r="I134" s="6" t="s">
        <v>252</v>
      </c>
      <c r="J134" s="7" t="s">
        <v>244</v>
      </c>
      <c r="K134" s="6" t="s">
        <v>276</v>
      </c>
      <c r="L134" s="9">
        <v>14000</v>
      </c>
      <c r="M134" s="10">
        <v>8800</v>
      </c>
      <c r="N134" s="6" t="s">
        <v>275</v>
      </c>
      <c r="O134" s="11">
        <v>0</v>
      </c>
      <c r="P134" s="11"/>
      <c r="Q134" s="11"/>
      <c r="R134" s="11"/>
      <c r="S134" s="11"/>
      <c r="T134" s="11"/>
      <c r="U134" s="11"/>
      <c r="V134" s="11"/>
      <c r="W134" s="11">
        <v>2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>
        <v>2.1196959999999998</v>
      </c>
      <c r="AJ134" s="11"/>
      <c r="AK134" s="11"/>
      <c r="AL134" s="11"/>
      <c r="AM134" s="10">
        <v>2</v>
      </c>
      <c r="AN134" s="10">
        <v>2.1196959999999998</v>
      </c>
      <c r="AO134" s="11">
        <v>2</v>
      </c>
      <c r="AP134" s="11">
        <v>2.3810074237344159</v>
      </c>
      <c r="AQ134" s="11">
        <v>2.523505956030073</v>
      </c>
      <c r="AR134" s="10">
        <v>0</v>
      </c>
      <c r="AS134" s="10">
        <v>0</v>
      </c>
      <c r="AT134" s="10">
        <v>0</v>
      </c>
      <c r="AU134" s="10">
        <v>0</v>
      </c>
      <c r="AV134" s="10">
        <v>0</v>
      </c>
      <c r="AW134" s="10">
        <v>0</v>
      </c>
      <c r="AX134" s="10">
        <v>0</v>
      </c>
      <c r="AY134" s="10">
        <v>0</v>
      </c>
      <c r="AZ134" s="10">
        <v>27712.308137870961</v>
      </c>
      <c r="BA134" s="10">
        <v>0</v>
      </c>
      <c r="BB134" s="10">
        <v>0</v>
      </c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10">
        <v>0</v>
      </c>
      <c r="BK134" s="10">
        <v>0</v>
      </c>
      <c r="BL134" s="10">
        <v>29370.834355306262</v>
      </c>
      <c r="BM134" s="10">
        <v>0</v>
      </c>
      <c r="BN134" s="10">
        <v>0</v>
      </c>
      <c r="BO134" s="10">
        <v>0</v>
      </c>
      <c r="BP134" s="12">
        <v>27712.308137870961</v>
      </c>
      <c r="BQ134" s="12">
        <v>29370.834355306262</v>
      </c>
      <c r="BR134" s="12">
        <v>27712.308137870961</v>
      </c>
      <c r="BS134" s="12">
        <v>32991.605702543216</v>
      </c>
      <c r="BT134" s="12">
        <v>34966.08732062902</v>
      </c>
      <c r="BU134" s="12">
        <f t="shared" si="3"/>
        <v>152753.14365422042</v>
      </c>
    </row>
    <row r="135" spans="1:73" x14ac:dyDescent="0.25">
      <c r="A135" s="6" t="s">
        <v>17</v>
      </c>
      <c r="B135" s="6" t="s">
        <v>18</v>
      </c>
      <c r="C135" s="18" t="s">
        <v>240</v>
      </c>
      <c r="D135" s="7" t="s">
        <v>241</v>
      </c>
      <c r="E135" s="7" t="s">
        <v>21</v>
      </c>
      <c r="F135" s="7" t="s">
        <v>242</v>
      </c>
      <c r="G135" s="7" t="s">
        <v>23</v>
      </c>
      <c r="H135" s="7" t="s">
        <v>254</v>
      </c>
      <c r="I135" s="6" t="s">
        <v>252</v>
      </c>
      <c r="J135" s="7" t="s">
        <v>244</v>
      </c>
      <c r="K135" s="6" t="s">
        <v>276</v>
      </c>
      <c r="L135" s="9">
        <v>8000</v>
      </c>
      <c r="M135" s="10">
        <v>8800</v>
      </c>
      <c r="N135" s="6" t="s">
        <v>276</v>
      </c>
      <c r="O135" s="11">
        <v>0</v>
      </c>
      <c r="P135" s="11"/>
      <c r="Q135" s="11"/>
      <c r="R135" s="11"/>
      <c r="S135" s="11"/>
      <c r="T135" s="11"/>
      <c r="U135" s="11"/>
      <c r="V135" s="11"/>
      <c r="W135" s="11">
        <v>1</v>
      </c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>
        <v>1.0598479999999999</v>
      </c>
      <c r="AJ135" s="11"/>
      <c r="AK135" s="11"/>
      <c r="AL135" s="11"/>
      <c r="AM135" s="10">
        <v>1</v>
      </c>
      <c r="AN135" s="10">
        <v>1.0598479999999999</v>
      </c>
      <c r="AO135" s="11">
        <v>1</v>
      </c>
      <c r="AP135" s="11">
        <v>1</v>
      </c>
      <c r="AQ135" s="11">
        <v>1</v>
      </c>
      <c r="AR135" s="10">
        <v>0</v>
      </c>
      <c r="AS135" s="10">
        <v>0</v>
      </c>
      <c r="AT135" s="10">
        <v>0</v>
      </c>
      <c r="AU135" s="10">
        <v>0</v>
      </c>
      <c r="AV135" s="10">
        <v>0</v>
      </c>
      <c r="AW135" s="10">
        <v>0</v>
      </c>
      <c r="AX135" s="10">
        <v>0</v>
      </c>
      <c r="AY135" s="10">
        <v>0</v>
      </c>
      <c r="AZ135" s="10">
        <v>7917.8023251059894</v>
      </c>
      <c r="BA135" s="10">
        <v>0</v>
      </c>
      <c r="BB135" s="10">
        <v>0</v>
      </c>
      <c r="BC135" s="10">
        <v>0</v>
      </c>
      <c r="BD135" s="10">
        <v>0</v>
      </c>
      <c r="BE135" s="10">
        <v>0</v>
      </c>
      <c r="BF135" s="10">
        <v>0</v>
      </c>
      <c r="BG135" s="10">
        <v>0</v>
      </c>
      <c r="BH135" s="10">
        <v>0</v>
      </c>
      <c r="BI135" s="10">
        <v>0</v>
      </c>
      <c r="BJ135" s="10">
        <v>0</v>
      </c>
      <c r="BK135" s="10">
        <v>0</v>
      </c>
      <c r="BL135" s="10">
        <v>8391.6669586589323</v>
      </c>
      <c r="BM135" s="10">
        <v>0</v>
      </c>
      <c r="BN135" s="10">
        <v>0</v>
      </c>
      <c r="BO135" s="10">
        <v>0</v>
      </c>
      <c r="BP135" s="12">
        <v>7917.8023251059894</v>
      </c>
      <c r="BQ135" s="12">
        <v>8391.6669586589323</v>
      </c>
      <c r="BR135" s="12">
        <v>7917.8023251059894</v>
      </c>
      <c r="BS135" s="12">
        <v>7917.8023251059894</v>
      </c>
      <c r="BT135" s="12">
        <v>7917.8023251059894</v>
      </c>
      <c r="BU135" s="12">
        <f t="shared" si="3"/>
        <v>40062.876259082892</v>
      </c>
    </row>
    <row r="136" spans="1:73" x14ac:dyDescent="0.25">
      <c r="A136" s="6" t="s">
        <v>28</v>
      </c>
      <c r="B136" s="6" t="s">
        <v>18</v>
      </c>
      <c r="C136" s="18" t="s">
        <v>240</v>
      </c>
      <c r="D136" s="7" t="s">
        <v>241</v>
      </c>
      <c r="E136" s="7" t="s">
        <v>21</v>
      </c>
      <c r="F136" s="7" t="s">
        <v>242</v>
      </c>
      <c r="G136" s="7" t="s">
        <v>23</v>
      </c>
      <c r="H136" s="7" t="s">
        <v>247</v>
      </c>
      <c r="I136" s="6" t="s">
        <v>76</v>
      </c>
      <c r="J136" s="7" t="s">
        <v>244</v>
      </c>
      <c r="K136" s="6" t="s">
        <v>276</v>
      </c>
      <c r="L136" s="9">
        <v>8000</v>
      </c>
      <c r="M136" s="10">
        <v>8800</v>
      </c>
      <c r="N136" s="6" t="s">
        <v>276</v>
      </c>
      <c r="O136" s="11">
        <v>0</v>
      </c>
      <c r="P136" s="11"/>
      <c r="Q136" s="11"/>
      <c r="R136" s="11"/>
      <c r="S136" s="11"/>
      <c r="T136" s="11"/>
      <c r="U136" s="11"/>
      <c r="V136" s="11"/>
      <c r="W136" s="11">
        <v>8</v>
      </c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>
        <v>8.4787839999999992</v>
      </c>
      <c r="AJ136" s="11"/>
      <c r="AK136" s="11"/>
      <c r="AL136" s="11"/>
      <c r="AM136" s="10">
        <v>8</v>
      </c>
      <c r="AN136" s="10">
        <v>8.4787839999999992</v>
      </c>
      <c r="AO136" s="11">
        <v>9</v>
      </c>
      <c r="AP136" s="11">
        <v>10</v>
      </c>
      <c r="AQ136" s="11">
        <v>10</v>
      </c>
      <c r="AR136" s="10">
        <v>0</v>
      </c>
      <c r="AS136" s="10">
        <v>0</v>
      </c>
      <c r="AT136" s="10">
        <v>0</v>
      </c>
      <c r="AU136" s="10">
        <v>0</v>
      </c>
      <c r="AV136" s="10">
        <v>0</v>
      </c>
      <c r="AW136" s="10">
        <v>0</v>
      </c>
      <c r="AX136" s="10">
        <v>0</v>
      </c>
      <c r="AY136" s="10">
        <v>0</v>
      </c>
      <c r="AZ136" s="10">
        <v>63342.418600847916</v>
      </c>
      <c r="BA136" s="10">
        <v>0</v>
      </c>
      <c r="BB136" s="10">
        <v>0</v>
      </c>
      <c r="BC136" s="10">
        <v>0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10">
        <v>0</v>
      </c>
      <c r="BK136" s="10">
        <v>0</v>
      </c>
      <c r="BL136" s="10">
        <v>67133.335669271459</v>
      </c>
      <c r="BM136" s="10">
        <v>0</v>
      </c>
      <c r="BN136" s="10">
        <v>0</v>
      </c>
      <c r="BO136" s="10">
        <v>0</v>
      </c>
      <c r="BP136" s="12">
        <v>63342.418600847916</v>
      </c>
      <c r="BQ136" s="12">
        <v>67133.335669271459</v>
      </c>
      <c r="BR136" s="12">
        <v>71260.220925953909</v>
      </c>
      <c r="BS136" s="12">
        <v>79178.023251059887</v>
      </c>
      <c r="BT136" s="12">
        <v>79178.023251059887</v>
      </c>
      <c r="BU136" s="12">
        <f t="shared" si="3"/>
        <v>360092.02169819304</v>
      </c>
    </row>
    <row r="137" spans="1:73" x14ac:dyDescent="0.25">
      <c r="A137" s="6" t="s">
        <v>28</v>
      </c>
      <c r="B137" s="6" t="s">
        <v>18</v>
      </c>
      <c r="C137" s="18" t="s">
        <v>240</v>
      </c>
      <c r="D137" s="7" t="s">
        <v>241</v>
      </c>
      <c r="E137" s="7" t="s">
        <v>21</v>
      </c>
      <c r="F137" s="7" t="s">
        <v>242</v>
      </c>
      <c r="G137" s="7" t="s">
        <v>23</v>
      </c>
      <c r="H137" s="7" t="s">
        <v>247</v>
      </c>
      <c r="I137" s="6" t="s">
        <v>252</v>
      </c>
      <c r="J137" s="7" t="s">
        <v>244</v>
      </c>
      <c r="K137" s="6" t="s">
        <v>276</v>
      </c>
      <c r="L137" s="9">
        <v>8000</v>
      </c>
      <c r="M137" s="10">
        <v>8800</v>
      </c>
      <c r="N137" s="6" t="s">
        <v>276</v>
      </c>
      <c r="O137" s="11">
        <v>0</v>
      </c>
      <c r="P137" s="11"/>
      <c r="Q137" s="11"/>
      <c r="R137" s="11"/>
      <c r="S137" s="11"/>
      <c r="T137" s="11"/>
      <c r="U137" s="11"/>
      <c r="V137" s="11"/>
      <c r="W137" s="11">
        <v>8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>
        <v>8.4787839999999992</v>
      </c>
      <c r="AJ137" s="11"/>
      <c r="AK137" s="11"/>
      <c r="AL137" s="11"/>
      <c r="AM137" s="10">
        <v>8</v>
      </c>
      <c r="AN137" s="10">
        <v>8.4787839999999992</v>
      </c>
      <c r="AO137" s="11">
        <v>9</v>
      </c>
      <c r="AP137" s="11">
        <v>10</v>
      </c>
      <c r="AQ137" s="11">
        <v>10</v>
      </c>
      <c r="AR137" s="10">
        <v>0</v>
      </c>
      <c r="AS137" s="10">
        <v>0</v>
      </c>
      <c r="AT137" s="10">
        <v>0</v>
      </c>
      <c r="AU137" s="10">
        <v>0</v>
      </c>
      <c r="AV137" s="10">
        <v>0</v>
      </c>
      <c r="AW137" s="10">
        <v>0</v>
      </c>
      <c r="AX137" s="10">
        <v>0</v>
      </c>
      <c r="AY137" s="10">
        <v>0</v>
      </c>
      <c r="AZ137" s="10">
        <v>63342.418600847916</v>
      </c>
      <c r="BA137" s="10">
        <v>0</v>
      </c>
      <c r="BB137" s="10">
        <v>0</v>
      </c>
      <c r="BC137" s="10">
        <v>0</v>
      </c>
      <c r="BD137" s="10">
        <v>0</v>
      </c>
      <c r="BE137" s="10">
        <v>0</v>
      </c>
      <c r="BF137" s="10">
        <v>0</v>
      </c>
      <c r="BG137" s="10">
        <v>0</v>
      </c>
      <c r="BH137" s="10">
        <v>0</v>
      </c>
      <c r="BI137" s="10">
        <v>0</v>
      </c>
      <c r="BJ137" s="10">
        <v>0</v>
      </c>
      <c r="BK137" s="10">
        <v>0</v>
      </c>
      <c r="BL137" s="10">
        <v>67133.335669271459</v>
      </c>
      <c r="BM137" s="10">
        <v>0</v>
      </c>
      <c r="BN137" s="10">
        <v>0</v>
      </c>
      <c r="BO137" s="10">
        <v>0</v>
      </c>
      <c r="BP137" s="12">
        <v>63342.418600847916</v>
      </c>
      <c r="BQ137" s="12">
        <v>67133.335669271459</v>
      </c>
      <c r="BR137" s="12">
        <v>71260.220925953909</v>
      </c>
      <c r="BS137" s="12">
        <v>79178.023251059887</v>
      </c>
      <c r="BT137" s="12">
        <v>79178.023251059887</v>
      </c>
      <c r="BU137" s="12">
        <f t="shared" si="3"/>
        <v>360092.02169819304</v>
      </c>
    </row>
    <row r="138" spans="1:73" x14ac:dyDescent="0.25">
      <c r="A138" s="6" t="s">
        <v>30</v>
      </c>
      <c r="B138" s="6" t="s">
        <v>18</v>
      </c>
      <c r="C138" s="18" t="s">
        <v>240</v>
      </c>
      <c r="D138" s="7" t="s">
        <v>241</v>
      </c>
      <c r="E138" s="7" t="s">
        <v>21</v>
      </c>
      <c r="F138" s="7" t="s">
        <v>242</v>
      </c>
      <c r="G138" s="7" t="s">
        <v>23</v>
      </c>
      <c r="H138" s="7" t="s">
        <v>249</v>
      </c>
      <c r="I138" s="6" t="s">
        <v>76</v>
      </c>
      <c r="J138" s="7" t="s">
        <v>244</v>
      </c>
      <c r="K138" s="6" t="s">
        <v>276</v>
      </c>
      <c r="L138" s="9">
        <v>8000</v>
      </c>
      <c r="M138" s="10">
        <v>8800</v>
      </c>
      <c r="N138" s="6" t="s">
        <v>276</v>
      </c>
      <c r="O138" s="11">
        <v>0</v>
      </c>
      <c r="P138" s="11"/>
      <c r="Q138" s="11"/>
      <c r="R138" s="11"/>
      <c r="S138" s="11"/>
      <c r="T138" s="11"/>
      <c r="U138" s="11"/>
      <c r="V138" s="11"/>
      <c r="W138" s="11">
        <v>3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>
        <v>3.1795439999999999</v>
      </c>
      <c r="AJ138" s="11"/>
      <c r="AK138" s="11"/>
      <c r="AL138" s="11"/>
      <c r="AM138" s="10">
        <v>3</v>
      </c>
      <c r="AN138" s="10">
        <v>3.1795439999999999</v>
      </c>
      <c r="AO138" s="11">
        <v>3</v>
      </c>
      <c r="AP138" s="11">
        <v>3.5715111356016238</v>
      </c>
      <c r="AQ138" s="11">
        <v>3.785258934045109</v>
      </c>
      <c r="AR138" s="10">
        <v>0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10">
        <v>23753.406975317968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25175.000875976795</v>
      </c>
      <c r="BM138" s="10">
        <v>0</v>
      </c>
      <c r="BN138" s="10">
        <v>0</v>
      </c>
      <c r="BO138" s="10">
        <v>0</v>
      </c>
      <c r="BP138" s="12">
        <v>23753.406975317968</v>
      </c>
      <c r="BQ138" s="12">
        <v>25175.000875976795</v>
      </c>
      <c r="BR138" s="12">
        <v>23753.406975317968</v>
      </c>
      <c r="BS138" s="12">
        <v>28278.519173608467</v>
      </c>
      <c r="BT138" s="12">
        <v>29970.931989110584</v>
      </c>
      <c r="BU138" s="12">
        <f t="shared" si="3"/>
        <v>130931.26598933178</v>
      </c>
    </row>
    <row r="139" spans="1:73" x14ac:dyDescent="0.25">
      <c r="A139" s="6" t="s">
        <v>30</v>
      </c>
      <c r="B139" s="6" t="s">
        <v>18</v>
      </c>
      <c r="C139" s="18" t="s">
        <v>240</v>
      </c>
      <c r="D139" s="7" t="s">
        <v>241</v>
      </c>
      <c r="E139" s="7" t="s">
        <v>21</v>
      </c>
      <c r="F139" s="7" t="s">
        <v>242</v>
      </c>
      <c r="G139" s="7" t="s">
        <v>23</v>
      </c>
      <c r="H139" s="7" t="s">
        <v>249</v>
      </c>
      <c r="I139" s="6" t="s">
        <v>252</v>
      </c>
      <c r="J139" s="7" t="s">
        <v>244</v>
      </c>
      <c r="K139" s="6" t="s">
        <v>276</v>
      </c>
      <c r="L139" s="9">
        <v>8000</v>
      </c>
      <c r="M139" s="10">
        <v>8800</v>
      </c>
      <c r="N139" s="6" t="s">
        <v>276</v>
      </c>
      <c r="O139" s="11">
        <v>0</v>
      </c>
      <c r="P139" s="11"/>
      <c r="Q139" s="11"/>
      <c r="R139" s="11"/>
      <c r="S139" s="11"/>
      <c r="T139" s="11"/>
      <c r="U139" s="11"/>
      <c r="V139" s="11"/>
      <c r="W139" s="11">
        <v>4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>
        <v>4.2393919999999996</v>
      </c>
      <c r="AJ139" s="11"/>
      <c r="AK139" s="11"/>
      <c r="AL139" s="11"/>
      <c r="AM139" s="10">
        <v>4</v>
      </c>
      <c r="AN139" s="10">
        <v>4.2393919999999996</v>
      </c>
      <c r="AO139" s="11">
        <v>4.4931111324159989</v>
      </c>
      <c r="AP139" s="11">
        <v>4.7620148474688309</v>
      </c>
      <c r="AQ139" s="11">
        <v>5.047011912060146</v>
      </c>
      <c r="AR139" s="10">
        <v>0</v>
      </c>
      <c r="AS139" s="10">
        <v>0</v>
      </c>
      <c r="AT139" s="10">
        <v>0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  <c r="AZ139" s="10">
        <v>31671.209300423958</v>
      </c>
      <c r="BA139" s="10">
        <v>0</v>
      </c>
      <c r="BB139" s="10">
        <v>0</v>
      </c>
      <c r="BC139" s="10">
        <v>0</v>
      </c>
      <c r="BD139" s="10">
        <v>0</v>
      </c>
      <c r="BE139" s="10">
        <v>0</v>
      </c>
      <c r="BF139" s="10">
        <v>0</v>
      </c>
      <c r="BG139" s="10">
        <v>0</v>
      </c>
      <c r="BH139" s="10">
        <v>0</v>
      </c>
      <c r="BI139" s="10">
        <v>0</v>
      </c>
      <c r="BJ139" s="10">
        <v>0</v>
      </c>
      <c r="BK139" s="10">
        <v>0</v>
      </c>
      <c r="BL139" s="10">
        <v>33566.667834635729</v>
      </c>
      <c r="BM139" s="10">
        <v>0</v>
      </c>
      <c r="BN139" s="10">
        <v>0</v>
      </c>
      <c r="BO139" s="10">
        <v>0</v>
      </c>
      <c r="BP139" s="12">
        <v>31671.209300423958</v>
      </c>
      <c r="BQ139" s="12">
        <v>33566.667834635729</v>
      </c>
      <c r="BR139" s="12">
        <v>35575.565771203001</v>
      </c>
      <c r="BS139" s="12">
        <v>37704.692231477951</v>
      </c>
      <c r="BT139" s="12">
        <v>39961.242652147448</v>
      </c>
      <c r="BU139" s="12">
        <f t="shared" si="3"/>
        <v>178479.37778988809</v>
      </c>
    </row>
    <row r="140" spans="1:73" x14ac:dyDescent="0.25">
      <c r="A140" s="6" t="s">
        <v>32</v>
      </c>
      <c r="B140" s="6" t="s">
        <v>18</v>
      </c>
      <c r="C140" s="18" t="s">
        <v>240</v>
      </c>
      <c r="D140" s="7" t="s">
        <v>241</v>
      </c>
      <c r="E140" s="7" t="s">
        <v>21</v>
      </c>
      <c r="F140" s="7" t="s">
        <v>242</v>
      </c>
      <c r="G140" s="7" t="s">
        <v>23</v>
      </c>
      <c r="H140" s="7" t="s">
        <v>250</v>
      </c>
      <c r="I140" s="6" t="s">
        <v>76</v>
      </c>
      <c r="J140" s="7" t="s">
        <v>244</v>
      </c>
      <c r="K140" s="6" t="s">
        <v>276</v>
      </c>
      <c r="L140" s="9">
        <v>8000</v>
      </c>
      <c r="M140" s="10">
        <v>8800</v>
      </c>
      <c r="N140" s="6" t="s">
        <v>276</v>
      </c>
      <c r="O140" s="11">
        <v>0</v>
      </c>
      <c r="P140" s="11"/>
      <c r="Q140" s="11"/>
      <c r="R140" s="11"/>
      <c r="S140" s="11"/>
      <c r="T140" s="11"/>
      <c r="U140" s="11"/>
      <c r="V140" s="11"/>
      <c r="W140" s="11">
        <v>1</v>
      </c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>
        <v>1.0598479999999999</v>
      </c>
      <c r="AJ140" s="11"/>
      <c r="AK140" s="11"/>
      <c r="AL140" s="11"/>
      <c r="AM140" s="10">
        <v>1</v>
      </c>
      <c r="AN140" s="10">
        <v>1.0598479999999999</v>
      </c>
      <c r="AO140" s="11">
        <v>1</v>
      </c>
      <c r="AP140" s="11">
        <v>1</v>
      </c>
      <c r="AQ140" s="11">
        <v>1</v>
      </c>
      <c r="AR140" s="10">
        <v>0</v>
      </c>
      <c r="AS140" s="10">
        <v>0</v>
      </c>
      <c r="AT140" s="10">
        <v>0</v>
      </c>
      <c r="AU140" s="10">
        <v>0</v>
      </c>
      <c r="AV140" s="10">
        <v>0</v>
      </c>
      <c r="AW140" s="10">
        <v>0</v>
      </c>
      <c r="AX140" s="10">
        <v>0</v>
      </c>
      <c r="AY140" s="10">
        <v>0</v>
      </c>
      <c r="AZ140" s="10">
        <v>7917.8023251059894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8391.6669586589323</v>
      </c>
      <c r="BM140" s="10">
        <v>0</v>
      </c>
      <c r="BN140" s="10">
        <v>0</v>
      </c>
      <c r="BO140" s="10">
        <v>0</v>
      </c>
      <c r="BP140" s="12">
        <v>7917.8023251059894</v>
      </c>
      <c r="BQ140" s="12">
        <v>8391.6669586589323</v>
      </c>
      <c r="BR140" s="12">
        <v>7917.8023251059894</v>
      </c>
      <c r="BS140" s="12">
        <v>7917.8023251059894</v>
      </c>
      <c r="BT140" s="12">
        <v>7917.8023251059894</v>
      </c>
      <c r="BU140" s="12">
        <f t="shared" si="3"/>
        <v>40062.876259082892</v>
      </c>
    </row>
    <row r="141" spans="1:73" x14ac:dyDescent="0.25">
      <c r="A141" s="6" t="s">
        <v>32</v>
      </c>
      <c r="B141" s="6" t="s">
        <v>18</v>
      </c>
      <c r="C141" s="18" t="s">
        <v>240</v>
      </c>
      <c r="D141" s="7" t="s">
        <v>241</v>
      </c>
      <c r="E141" s="7" t="s">
        <v>21</v>
      </c>
      <c r="F141" s="7" t="s">
        <v>242</v>
      </c>
      <c r="G141" s="7" t="s">
        <v>23</v>
      </c>
      <c r="H141" s="7" t="s">
        <v>250</v>
      </c>
      <c r="I141" s="6" t="s">
        <v>252</v>
      </c>
      <c r="J141" s="7" t="s">
        <v>244</v>
      </c>
      <c r="K141" s="6" t="s">
        <v>276</v>
      </c>
      <c r="L141" s="9">
        <v>8000</v>
      </c>
      <c r="M141" s="10">
        <v>8800</v>
      </c>
      <c r="N141" s="6" t="s">
        <v>276</v>
      </c>
      <c r="O141" s="11">
        <v>0</v>
      </c>
      <c r="P141" s="11"/>
      <c r="Q141" s="11"/>
      <c r="R141" s="11"/>
      <c r="S141" s="11"/>
      <c r="T141" s="11"/>
      <c r="U141" s="11"/>
      <c r="V141" s="11"/>
      <c r="W141" s="11">
        <v>1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>
        <v>1.0598479999999999</v>
      </c>
      <c r="AJ141" s="11"/>
      <c r="AK141" s="11"/>
      <c r="AL141" s="11"/>
      <c r="AM141" s="10">
        <v>1</v>
      </c>
      <c r="AN141" s="10">
        <v>1.0598479999999999</v>
      </c>
      <c r="AO141" s="11">
        <v>1</v>
      </c>
      <c r="AP141" s="11">
        <v>1</v>
      </c>
      <c r="AQ141" s="11">
        <v>1</v>
      </c>
      <c r="AR141" s="10">
        <v>0</v>
      </c>
      <c r="AS141" s="10">
        <v>0</v>
      </c>
      <c r="AT141" s="10">
        <v>0</v>
      </c>
      <c r="AU141" s="10">
        <v>0</v>
      </c>
      <c r="AV141" s="10">
        <v>0</v>
      </c>
      <c r="AW141" s="10">
        <v>0</v>
      </c>
      <c r="AX141" s="10">
        <v>0</v>
      </c>
      <c r="AY141" s="10">
        <v>0</v>
      </c>
      <c r="AZ141" s="10">
        <v>7917.8023251059894</v>
      </c>
      <c r="BA141" s="10">
        <v>0</v>
      </c>
      <c r="BB141" s="10">
        <v>0</v>
      </c>
      <c r="BC141" s="10">
        <v>0</v>
      </c>
      <c r="BD141" s="10">
        <v>0</v>
      </c>
      <c r="BE141" s="10">
        <v>0</v>
      </c>
      <c r="BF141" s="10">
        <v>0</v>
      </c>
      <c r="BG141" s="10">
        <v>0</v>
      </c>
      <c r="BH141" s="10">
        <v>0</v>
      </c>
      <c r="BI141" s="10">
        <v>0</v>
      </c>
      <c r="BJ141" s="10">
        <v>0</v>
      </c>
      <c r="BK141" s="10">
        <v>0</v>
      </c>
      <c r="BL141" s="10">
        <v>8391.6669586589323</v>
      </c>
      <c r="BM141" s="10">
        <v>0</v>
      </c>
      <c r="BN141" s="10">
        <v>0</v>
      </c>
      <c r="BO141" s="10">
        <v>0</v>
      </c>
      <c r="BP141" s="12">
        <v>7917.8023251059894</v>
      </c>
      <c r="BQ141" s="12">
        <v>8391.6669586589323</v>
      </c>
      <c r="BR141" s="12">
        <v>7917.8023251059894</v>
      </c>
      <c r="BS141" s="12">
        <v>7917.8023251059894</v>
      </c>
      <c r="BT141" s="12">
        <v>7917.8023251059894</v>
      </c>
      <c r="BU141" s="12">
        <f t="shared" si="3"/>
        <v>40062.876259082892</v>
      </c>
    </row>
    <row r="142" spans="1:73" x14ac:dyDescent="0.25">
      <c r="A142" s="6" t="s">
        <v>34</v>
      </c>
      <c r="B142" s="6" t="s">
        <v>18</v>
      </c>
      <c r="C142" s="18" t="s">
        <v>240</v>
      </c>
      <c r="D142" s="7" t="s">
        <v>241</v>
      </c>
      <c r="E142" s="7" t="s">
        <v>21</v>
      </c>
      <c r="F142" s="7" t="s">
        <v>242</v>
      </c>
      <c r="G142" s="7" t="s">
        <v>23</v>
      </c>
      <c r="H142" s="7" t="s">
        <v>251</v>
      </c>
      <c r="I142" s="6" t="s">
        <v>76</v>
      </c>
      <c r="J142" s="7" t="s">
        <v>244</v>
      </c>
      <c r="K142" s="6" t="s">
        <v>276</v>
      </c>
      <c r="L142" s="9">
        <v>8000</v>
      </c>
      <c r="M142" s="10">
        <v>8800</v>
      </c>
      <c r="N142" s="6" t="s">
        <v>276</v>
      </c>
      <c r="O142" s="11">
        <v>0</v>
      </c>
      <c r="P142" s="11"/>
      <c r="Q142" s="11"/>
      <c r="R142" s="11"/>
      <c r="S142" s="11"/>
      <c r="T142" s="11"/>
      <c r="U142" s="11"/>
      <c r="V142" s="11"/>
      <c r="W142" s="11">
        <v>7</v>
      </c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>
        <v>7.4189359999999995</v>
      </c>
      <c r="AJ142" s="11"/>
      <c r="AK142" s="11"/>
      <c r="AL142" s="11"/>
      <c r="AM142" s="10">
        <v>7</v>
      </c>
      <c r="AN142" s="10">
        <v>7.4189359999999995</v>
      </c>
      <c r="AO142" s="11">
        <v>7.8629444817279994</v>
      </c>
      <c r="AP142" s="11">
        <v>8.3335259830704569</v>
      </c>
      <c r="AQ142" s="11">
        <v>8.8322708461052546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55424.616275741922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58741.668710612525</v>
      </c>
      <c r="BM142" s="10">
        <v>0</v>
      </c>
      <c r="BN142" s="10">
        <v>0</v>
      </c>
      <c r="BO142" s="10">
        <v>0</v>
      </c>
      <c r="BP142" s="12">
        <v>55424.616275741922</v>
      </c>
      <c r="BQ142" s="12">
        <v>58741.668710612525</v>
      </c>
      <c r="BR142" s="12">
        <v>62257.24009960526</v>
      </c>
      <c r="BS142" s="12">
        <v>65983.211405086433</v>
      </c>
      <c r="BT142" s="12">
        <v>69932.17464125804</v>
      </c>
      <c r="BU142" s="12">
        <f t="shared" si="3"/>
        <v>312338.91113230417</v>
      </c>
    </row>
    <row r="143" spans="1:73" x14ac:dyDescent="0.25">
      <c r="A143" s="6" t="s">
        <v>34</v>
      </c>
      <c r="B143" s="6" t="s">
        <v>18</v>
      </c>
      <c r="C143" s="18" t="s">
        <v>240</v>
      </c>
      <c r="D143" s="7" t="s">
        <v>241</v>
      </c>
      <c r="E143" s="7" t="s">
        <v>21</v>
      </c>
      <c r="F143" s="7" t="s">
        <v>242</v>
      </c>
      <c r="G143" s="7" t="s">
        <v>23</v>
      </c>
      <c r="H143" s="7" t="s">
        <v>251</v>
      </c>
      <c r="I143" s="6" t="s">
        <v>252</v>
      </c>
      <c r="J143" s="7" t="s">
        <v>244</v>
      </c>
      <c r="K143" s="6" t="s">
        <v>276</v>
      </c>
      <c r="L143" s="9">
        <v>8000</v>
      </c>
      <c r="M143" s="10">
        <v>8800</v>
      </c>
      <c r="N143" s="6" t="s">
        <v>276</v>
      </c>
      <c r="O143" s="11">
        <v>0</v>
      </c>
      <c r="P143" s="11"/>
      <c r="Q143" s="11"/>
      <c r="R143" s="11"/>
      <c r="S143" s="11"/>
      <c r="T143" s="11"/>
      <c r="U143" s="11"/>
      <c r="V143" s="11"/>
      <c r="W143" s="11">
        <v>5</v>
      </c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>
        <v>5.2992400000000002</v>
      </c>
      <c r="AJ143" s="11"/>
      <c r="AK143" s="11"/>
      <c r="AL143" s="11"/>
      <c r="AM143" s="10">
        <v>5</v>
      </c>
      <c r="AN143" s="10">
        <v>5.2992400000000002</v>
      </c>
      <c r="AO143" s="11">
        <v>5.6163889155199991</v>
      </c>
      <c r="AP143" s="11">
        <v>5.9525185593360401</v>
      </c>
      <c r="AQ143" s="11">
        <v>6.3087648900751825</v>
      </c>
      <c r="AR143" s="10">
        <v>0</v>
      </c>
      <c r="AS143" s="10">
        <v>0</v>
      </c>
      <c r="AT143" s="10">
        <v>0</v>
      </c>
      <c r="AU143" s="10">
        <v>0</v>
      </c>
      <c r="AV143" s="10">
        <v>0</v>
      </c>
      <c r="AW143" s="10">
        <v>0</v>
      </c>
      <c r="AX143" s="10">
        <v>0</v>
      </c>
      <c r="AY143" s="10">
        <v>0</v>
      </c>
      <c r="AZ143" s="10">
        <v>39589.011625529944</v>
      </c>
      <c r="BA143" s="10">
        <v>0</v>
      </c>
      <c r="BB143" s="10">
        <v>0</v>
      </c>
      <c r="BC143" s="10">
        <v>0</v>
      </c>
      <c r="BD143" s="10">
        <v>0</v>
      </c>
      <c r="BE143" s="10">
        <v>0</v>
      </c>
      <c r="BF143" s="10">
        <v>0</v>
      </c>
      <c r="BG143" s="10">
        <v>0</v>
      </c>
      <c r="BH143" s="10">
        <v>0</v>
      </c>
      <c r="BI143" s="10">
        <v>0</v>
      </c>
      <c r="BJ143" s="10">
        <v>0</v>
      </c>
      <c r="BK143" s="10">
        <v>0</v>
      </c>
      <c r="BL143" s="10">
        <v>41958.334793294664</v>
      </c>
      <c r="BM143" s="10">
        <v>0</v>
      </c>
      <c r="BN143" s="10">
        <v>0</v>
      </c>
      <c r="BO143" s="10">
        <v>0</v>
      </c>
      <c r="BP143" s="12">
        <v>39589.011625529944</v>
      </c>
      <c r="BQ143" s="12">
        <v>41958.334793294664</v>
      </c>
      <c r="BR143" s="12">
        <v>44469.457214003756</v>
      </c>
      <c r="BS143" s="12">
        <v>47130.86528934745</v>
      </c>
      <c r="BT143" s="12">
        <v>49951.553315184312</v>
      </c>
      <c r="BU143" s="12">
        <f t="shared" si="3"/>
        <v>223099.22223736011</v>
      </c>
    </row>
    <row r="144" spans="1:73" x14ac:dyDescent="0.25">
      <c r="A144" s="6" t="s">
        <v>38</v>
      </c>
      <c r="B144" s="6" t="s">
        <v>18</v>
      </c>
      <c r="C144" s="18" t="s">
        <v>240</v>
      </c>
      <c r="D144" s="7" t="s">
        <v>241</v>
      </c>
      <c r="E144" s="7" t="s">
        <v>21</v>
      </c>
      <c r="F144" s="7" t="s">
        <v>242</v>
      </c>
      <c r="G144" s="7" t="s">
        <v>23</v>
      </c>
      <c r="H144" s="7" t="s">
        <v>243</v>
      </c>
      <c r="I144" s="6" t="s">
        <v>252</v>
      </c>
      <c r="J144" s="7" t="s">
        <v>244</v>
      </c>
      <c r="K144" s="6" t="s">
        <v>276</v>
      </c>
      <c r="L144" s="9">
        <v>8000</v>
      </c>
      <c r="M144" s="10">
        <v>8800</v>
      </c>
      <c r="N144" s="6" t="s">
        <v>276</v>
      </c>
      <c r="O144" s="11">
        <v>0</v>
      </c>
      <c r="P144" s="11"/>
      <c r="Q144" s="11"/>
      <c r="R144" s="11"/>
      <c r="S144" s="11"/>
      <c r="T144" s="11"/>
      <c r="U144" s="11"/>
      <c r="V144" s="11"/>
      <c r="W144" s="11">
        <v>3</v>
      </c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>
        <v>3.1795439999999999</v>
      </c>
      <c r="AJ144" s="11"/>
      <c r="AK144" s="11"/>
      <c r="AL144" s="11"/>
      <c r="AM144" s="10">
        <v>3</v>
      </c>
      <c r="AN144" s="10">
        <v>3.1795439999999999</v>
      </c>
      <c r="AO144" s="11">
        <v>3</v>
      </c>
      <c r="AP144" s="11">
        <v>3.5715111356016238</v>
      </c>
      <c r="AQ144" s="11">
        <v>3.785258934045109</v>
      </c>
      <c r="AR144" s="10">
        <v>0</v>
      </c>
      <c r="AS144" s="10">
        <v>0</v>
      </c>
      <c r="AT144" s="10">
        <v>0</v>
      </c>
      <c r="AU144" s="10">
        <v>0</v>
      </c>
      <c r="AV144" s="10">
        <v>0</v>
      </c>
      <c r="AW144" s="10">
        <v>0</v>
      </c>
      <c r="AX144" s="10">
        <v>0</v>
      </c>
      <c r="AY144" s="10">
        <v>0</v>
      </c>
      <c r="AZ144" s="10">
        <v>23753.406975317968</v>
      </c>
      <c r="BA144" s="10">
        <v>0</v>
      </c>
      <c r="BB144" s="10">
        <v>0</v>
      </c>
      <c r="BC144" s="10">
        <v>0</v>
      </c>
      <c r="BD144" s="10">
        <v>0</v>
      </c>
      <c r="BE144" s="10">
        <v>0</v>
      </c>
      <c r="BF144" s="10">
        <v>0</v>
      </c>
      <c r="BG144" s="10">
        <v>0</v>
      </c>
      <c r="BH144" s="10">
        <v>0</v>
      </c>
      <c r="BI144" s="10">
        <v>0</v>
      </c>
      <c r="BJ144" s="10">
        <v>0</v>
      </c>
      <c r="BK144" s="10">
        <v>0</v>
      </c>
      <c r="BL144" s="10">
        <v>25175.000875976795</v>
      </c>
      <c r="BM144" s="10">
        <v>0</v>
      </c>
      <c r="BN144" s="10">
        <v>0</v>
      </c>
      <c r="BO144" s="10">
        <v>0</v>
      </c>
      <c r="BP144" s="12">
        <v>23753.406975317968</v>
      </c>
      <c r="BQ144" s="12">
        <v>25175.000875976795</v>
      </c>
      <c r="BR144" s="12">
        <v>23753.406975317968</v>
      </c>
      <c r="BS144" s="12">
        <v>28278.519173608467</v>
      </c>
      <c r="BT144" s="12">
        <v>29970.931989110584</v>
      </c>
      <c r="BU144" s="12">
        <f t="shared" si="3"/>
        <v>130931.26598933178</v>
      </c>
    </row>
    <row r="145" spans="1:73" x14ac:dyDescent="0.25">
      <c r="A145" s="6" t="s">
        <v>38</v>
      </c>
      <c r="B145" s="6" t="s">
        <v>18</v>
      </c>
      <c r="C145" s="18" t="s">
        <v>240</v>
      </c>
      <c r="D145" s="7" t="s">
        <v>241</v>
      </c>
      <c r="E145" s="7" t="s">
        <v>21</v>
      </c>
      <c r="F145" s="7" t="s">
        <v>242</v>
      </c>
      <c r="G145" s="7" t="s">
        <v>23</v>
      </c>
      <c r="H145" s="7" t="s">
        <v>243</v>
      </c>
      <c r="I145" s="6" t="s">
        <v>76</v>
      </c>
      <c r="J145" s="7" t="s">
        <v>244</v>
      </c>
      <c r="K145" s="6" t="s">
        <v>276</v>
      </c>
      <c r="L145" s="9">
        <v>8000</v>
      </c>
      <c r="M145" s="10">
        <v>8800</v>
      </c>
      <c r="N145" s="6" t="s">
        <v>276</v>
      </c>
      <c r="O145" s="11">
        <v>0</v>
      </c>
      <c r="P145" s="11"/>
      <c r="Q145" s="11"/>
      <c r="R145" s="11"/>
      <c r="S145" s="11"/>
      <c r="T145" s="11"/>
      <c r="U145" s="11"/>
      <c r="V145" s="11"/>
      <c r="W145" s="11">
        <v>3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>
        <v>3.1795439999999999</v>
      </c>
      <c r="AJ145" s="11"/>
      <c r="AK145" s="11"/>
      <c r="AL145" s="11"/>
      <c r="AM145" s="10">
        <v>3</v>
      </c>
      <c r="AN145" s="10">
        <v>3.1795439999999999</v>
      </c>
      <c r="AO145" s="11">
        <v>3</v>
      </c>
      <c r="AP145" s="11">
        <v>3.5715111356016238</v>
      </c>
      <c r="AQ145" s="11">
        <v>3.785258934045109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</v>
      </c>
      <c r="AY145" s="10">
        <v>0</v>
      </c>
      <c r="AZ145" s="10">
        <v>23753.406975317968</v>
      </c>
      <c r="BA145" s="10">
        <v>0</v>
      </c>
      <c r="BB145" s="10">
        <v>0</v>
      </c>
      <c r="BC145" s="10">
        <v>0</v>
      </c>
      <c r="BD145" s="10">
        <v>0</v>
      </c>
      <c r="BE145" s="10">
        <v>0</v>
      </c>
      <c r="BF145" s="10">
        <v>0</v>
      </c>
      <c r="BG145" s="10">
        <v>0</v>
      </c>
      <c r="BH145" s="10">
        <v>0</v>
      </c>
      <c r="BI145" s="10">
        <v>0</v>
      </c>
      <c r="BJ145" s="10">
        <v>0</v>
      </c>
      <c r="BK145" s="10">
        <v>0</v>
      </c>
      <c r="BL145" s="10">
        <v>25175.000875976795</v>
      </c>
      <c r="BM145" s="10">
        <v>0</v>
      </c>
      <c r="BN145" s="10">
        <v>0</v>
      </c>
      <c r="BO145" s="10">
        <v>0</v>
      </c>
      <c r="BP145" s="12">
        <v>23753.406975317968</v>
      </c>
      <c r="BQ145" s="12">
        <v>25175.000875976795</v>
      </c>
      <c r="BR145" s="12">
        <v>23753.406975317968</v>
      </c>
      <c r="BS145" s="12">
        <v>28278.519173608467</v>
      </c>
      <c r="BT145" s="12">
        <v>29970.931989110584</v>
      </c>
      <c r="BU145" s="12">
        <f t="shared" si="3"/>
        <v>130931.26598933178</v>
      </c>
    </row>
    <row r="146" spans="1:73" x14ac:dyDescent="0.25">
      <c r="A146" s="6" t="s">
        <v>96</v>
      </c>
      <c r="B146" s="6" t="s">
        <v>18</v>
      </c>
      <c r="C146" s="18" t="s">
        <v>240</v>
      </c>
      <c r="D146" s="7" t="s">
        <v>241</v>
      </c>
      <c r="E146" s="7" t="s">
        <v>21</v>
      </c>
      <c r="F146" s="7" t="s">
        <v>242</v>
      </c>
      <c r="G146" s="7" t="s">
        <v>23</v>
      </c>
      <c r="H146" s="7" t="s">
        <v>262</v>
      </c>
      <c r="I146" s="6" t="s">
        <v>252</v>
      </c>
      <c r="J146" s="7" t="s">
        <v>244</v>
      </c>
      <c r="K146" s="6" t="s">
        <v>276</v>
      </c>
      <c r="L146" s="9">
        <v>8000</v>
      </c>
      <c r="M146" s="10">
        <v>8800</v>
      </c>
      <c r="N146" s="6" t="s">
        <v>276</v>
      </c>
      <c r="O146" s="11">
        <v>0</v>
      </c>
      <c r="P146" s="11"/>
      <c r="Q146" s="11"/>
      <c r="R146" s="11"/>
      <c r="S146" s="11"/>
      <c r="T146" s="11"/>
      <c r="U146" s="11"/>
      <c r="V146" s="11"/>
      <c r="W146" s="11">
        <v>1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>
        <v>1.0598479999999999</v>
      </c>
      <c r="AJ146" s="11"/>
      <c r="AK146" s="11"/>
      <c r="AL146" s="11"/>
      <c r="AM146" s="10">
        <v>1</v>
      </c>
      <c r="AN146" s="10">
        <v>1.0598479999999999</v>
      </c>
      <c r="AO146" s="11">
        <v>1</v>
      </c>
      <c r="AP146" s="11">
        <v>1</v>
      </c>
      <c r="AQ146" s="11">
        <v>1</v>
      </c>
      <c r="AR146" s="10">
        <v>0</v>
      </c>
      <c r="AS146" s="10">
        <v>0</v>
      </c>
      <c r="AT146" s="10">
        <v>0</v>
      </c>
      <c r="AU146" s="10">
        <v>0</v>
      </c>
      <c r="AV146" s="10">
        <v>0</v>
      </c>
      <c r="AW146" s="10">
        <v>0</v>
      </c>
      <c r="AX146" s="10">
        <v>0</v>
      </c>
      <c r="AY146" s="10">
        <v>0</v>
      </c>
      <c r="AZ146" s="10">
        <v>7917.8023251059894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8391.6669586589323</v>
      </c>
      <c r="BM146" s="10">
        <v>0</v>
      </c>
      <c r="BN146" s="10">
        <v>0</v>
      </c>
      <c r="BO146" s="10">
        <v>0</v>
      </c>
      <c r="BP146" s="12">
        <v>7917.8023251059894</v>
      </c>
      <c r="BQ146" s="12">
        <v>8391.6669586589323</v>
      </c>
      <c r="BR146" s="12">
        <v>7917.8023251059894</v>
      </c>
      <c r="BS146" s="12">
        <v>7917.8023251059894</v>
      </c>
      <c r="BT146" s="12">
        <v>7917.8023251059894</v>
      </c>
      <c r="BU146" s="12">
        <f t="shared" si="3"/>
        <v>40062.876259082892</v>
      </c>
    </row>
    <row r="147" spans="1:73" x14ac:dyDescent="0.25">
      <c r="A147" s="6" t="s">
        <v>40</v>
      </c>
      <c r="B147" s="6" t="s">
        <v>18</v>
      </c>
      <c r="C147" s="18" t="s">
        <v>240</v>
      </c>
      <c r="D147" s="7" t="s">
        <v>241</v>
      </c>
      <c r="E147" s="7" t="s">
        <v>21</v>
      </c>
      <c r="F147" s="7" t="s">
        <v>242</v>
      </c>
      <c r="G147" s="7" t="s">
        <v>23</v>
      </c>
      <c r="H147" s="7" t="s">
        <v>256</v>
      </c>
      <c r="I147" s="6" t="s">
        <v>252</v>
      </c>
      <c r="J147" s="7" t="s">
        <v>244</v>
      </c>
      <c r="K147" s="6" t="s">
        <v>276</v>
      </c>
      <c r="L147" s="9">
        <v>8000</v>
      </c>
      <c r="M147" s="10">
        <v>8800</v>
      </c>
      <c r="N147" s="6" t="s">
        <v>276</v>
      </c>
      <c r="O147" s="11">
        <v>0</v>
      </c>
      <c r="P147" s="11"/>
      <c r="Q147" s="11"/>
      <c r="R147" s="11"/>
      <c r="S147" s="11"/>
      <c r="T147" s="11"/>
      <c r="U147" s="11"/>
      <c r="V147" s="11"/>
      <c r="W147" s="11">
        <v>6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>
        <v>6.3590879999999999</v>
      </c>
      <c r="AJ147" s="11"/>
      <c r="AK147" s="11"/>
      <c r="AL147" s="11"/>
      <c r="AM147" s="10">
        <v>6</v>
      </c>
      <c r="AN147" s="10">
        <v>6.3590879999999999</v>
      </c>
      <c r="AO147" s="11">
        <v>6.7396666986239993</v>
      </c>
      <c r="AP147" s="11">
        <v>7.1430222712032476</v>
      </c>
      <c r="AQ147" s="11">
        <v>7.5705178680902181</v>
      </c>
      <c r="AR147" s="10">
        <v>0</v>
      </c>
      <c r="AS147" s="10">
        <v>0</v>
      </c>
      <c r="AT147" s="10">
        <v>0</v>
      </c>
      <c r="AU147" s="10">
        <v>0</v>
      </c>
      <c r="AV147" s="10">
        <v>0</v>
      </c>
      <c r="AW147" s="10">
        <v>0</v>
      </c>
      <c r="AX147" s="10">
        <v>0</v>
      </c>
      <c r="AY147" s="10">
        <v>0</v>
      </c>
      <c r="AZ147" s="10">
        <v>47506.813950635937</v>
      </c>
      <c r="BA147" s="10">
        <v>0</v>
      </c>
      <c r="BB147" s="10">
        <v>0</v>
      </c>
      <c r="BC147" s="10">
        <v>0</v>
      </c>
      <c r="BD147" s="10">
        <v>0</v>
      </c>
      <c r="BE147" s="10">
        <v>0</v>
      </c>
      <c r="BF147" s="10">
        <v>0</v>
      </c>
      <c r="BG147" s="10">
        <v>0</v>
      </c>
      <c r="BH147" s="10">
        <v>0</v>
      </c>
      <c r="BI147" s="10">
        <v>0</v>
      </c>
      <c r="BJ147" s="10">
        <v>0</v>
      </c>
      <c r="BK147" s="10">
        <v>0</v>
      </c>
      <c r="BL147" s="10">
        <v>50350.00175195359</v>
      </c>
      <c r="BM147" s="10">
        <v>0</v>
      </c>
      <c r="BN147" s="10">
        <v>0</v>
      </c>
      <c r="BO147" s="10">
        <v>0</v>
      </c>
      <c r="BP147" s="12">
        <v>47506.813950635937</v>
      </c>
      <c r="BQ147" s="12">
        <v>50350.00175195359</v>
      </c>
      <c r="BR147" s="12">
        <v>53363.348656804505</v>
      </c>
      <c r="BS147" s="12">
        <v>56557.038347216934</v>
      </c>
      <c r="BT147" s="12">
        <v>59941.863978221169</v>
      </c>
      <c r="BU147" s="12">
        <f t="shared" si="3"/>
        <v>267719.0666848321</v>
      </c>
    </row>
    <row r="148" spans="1:73" x14ac:dyDescent="0.25">
      <c r="A148" s="6" t="s">
        <v>40</v>
      </c>
      <c r="B148" s="6" t="s">
        <v>18</v>
      </c>
      <c r="C148" s="18" t="s">
        <v>240</v>
      </c>
      <c r="D148" s="7" t="s">
        <v>241</v>
      </c>
      <c r="E148" s="7" t="s">
        <v>21</v>
      </c>
      <c r="F148" s="7" t="s">
        <v>242</v>
      </c>
      <c r="G148" s="7" t="s">
        <v>23</v>
      </c>
      <c r="H148" s="7" t="s">
        <v>256</v>
      </c>
      <c r="I148" s="6" t="s">
        <v>76</v>
      </c>
      <c r="J148" s="7" t="s">
        <v>244</v>
      </c>
      <c r="K148" s="6" t="s">
        <v>276</v>
      </c>
      <c r="L148" s="9">
        <v>8000</v>
      </c>
      <c r="M148" s="10">
        <v>8800</v>
      </c>
      <c r="N148" s="6" t="s">
        <v>276</v>
      </c>
      <c r="O148" s="11">
        <v>0</v>
      </c>
      <c r="P148" s="11"/>
      <c r="Q148" s="11"/>
      <c r="R148" s="11"/>
      <c r="S148" s="11"/>
      <c r="T148" s="11"/>
      <c r="U148" s="11"/>
      <c r="V148" s="11"/>
      <c r="W148" s="11">
        <v>7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>
        <v>7.4189359999999995</v>
      </c>
      <c r="AJ148" s="11"/>
      <c r="AK148" s="11"/>
      <c r="AL148" s="11"/>
      <c r="AM148" s="10">
        <v>7</v>
      </c>
      <c r="AN148" s="10">
        <v>7.4189359999999995</v>
      </c>
      <c r="AO148" s="11">
        <v>7.8629444817279994</v>
      </c>
      <c r="AP148" s="11">
        <v>8.3335259830704569</v>
      </c>
      <c r="AQ148" s="11">
        <v>8.8322708461052546</v>
      </c>
      <c r="AR148" s="10">
        <v>0</v>
      </c>
      <c r="AS148" s="10">
        <v>0</v>
      </c>
      <c r="AT148" s="10">
        <v>0</v>
      </c>
      <c r="AU148" s="10">
        <v>0</v>
      </c>
      <c r="AV148" s="10">
        <v>0</v>
      </c>
      <c r="AW148" s="10">
        <v>0</v>
      </c>
      <c r="AX148" s="10">
        <v>0</v>
      </c>
      <c r="AY148" s="10">
        <v>0</v>
      </c>
      <c r="AZ148" s="10">
        <v>55424.616275741922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10">
        <v>0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58741.668710612525</v>
      </c>
      <c r="BM148" s="10">
        <v>0</v>
      </c>
      <c r="BN148" s="10">
        <v>0</v>
      </c>
      <c r="BO148" s="10">
        <v>0</v>
      </c>
      <c r="BP148" s="12">
        <v>55424.616275741922</v>
      </c>
      <c r="BQ148" s="12">
        <v>58741.668710612525</v>
      </c>
      <c r="BR148" s="12">
        <v>62257.24009960526</v>
      </c>
      <c r="BS148" s="12">
        <v>65983.211405086433</v>
      </c>
      <c r="BT148" s="12">
        <v>69932.17464125804</v>
      </c>
      <c r="BU148" s="12">
        <f t="shared" si="3"/>
        <v>312338.91113230417</v>
      </c>
    </row>
    <row r="149" spans="1:73" x14ac:dyDescent="0.25">
      <c r="A149" s="6" t="s">
        <v>98</v>
      </c>
      <c r="B149" s="6" t="s">
        <v>18</v>
      </c>
      <c r="C149" s="18" t="s">
        <v>240</v>
      </c>
      <c r="D149" s="7" t="s">
        <v>241</v>
      </c>
      <c r="E149" s="7" t="s">
        <v>21</v>
      </c>
      <c r="F149" s="7" t="s">
        <v>242</v>
      </c>
      <c r="G149" s="7" t="s">
        <v>23</v>
      </c>
      <c r="H149" s="7" t="s">
        <v>257</v>
      </c>
      <c r="I149" s="6" t="s">
        <v>252</v>
      </c>
      <c r="J149" s="7" t="s">
        <v>244</v>
      </c>
      <c r="K149" s="6" t="s">
        <v>276</v>
      </c>
      <c r="L149" s="9">
        <v>8000</v>
      </c>
      <c r="M149" s="10">
        <v>8800</v>
      </c>
      <c r="N149" s="6" t="s">
        <v>276</v>
      </c>
      <c r="O149" s="11">
        <v>0</v>
      </c>
      <c r="P149" s="11"/>
      <c r="Q149" s="11"/>
      <c r="R149" s="11"/>
      <c r="S149" s="11"/>
      <c r="T149" s="11"/>
      <c r="U149" s="11"/>
      <c r="V149" s="11"/>
      <c r="W149" s="11">
        <v>1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>
        <v>1.0598479999999999</v>
      </c>
      <c r="AJ149" s="11"/>
      <c r="AK149" s="11"/>
      <c r="AL149" s="11"/>
      <c r="AM149" s="10">
        <v>1</v>
      </c>
      <c r="AN149" s="10">
        <v>1.0598479999999999</v>
      </c>
      <c r="AO149" s="11">
        <v>1</v>
      </c>
      <c r="AP149" s="11">
        <v>1</v>
      </c>
      <c r="AQ149" s="11">
        <v>1</v>
      </c>
      <c r="AR149" s="10">
        <v>0</v>
      </c>
      <c r="AS149" s="10">
        <v>0</v>
      </c>
      <c r="AT149" s="10">
        <v>0</v>
      </c>
      <c r="AU149" s="10">
        <v>0</v>
      </c>
      <c r="AV149" s="10">
        <v>0</v>
      </c>
      <c r="AW149" s="10">
        <v>0</v>
      </c>
      <c r="AX149" s="10">
        <v>0</v>
      </c>
      <c r="AY149" s="10">
        <v>0</v>
      </c>
      <c r="AZ149" s="10">
        <v>7917.8023251059894</v>
      </c>
      <c r="BA149" s="10">
        <v>0</v>
      </c>
      <c r="BB149" s="10">
        <v>0</v>
      </c>
      <c r="BC149" s="10">
        <v>0</v>
      </c>
      <c r="BD149" s="10">
        <v>0</v>
      </c>
      <c r="BE149" s="10">
        <v>0</v>
      </c>
      <c r="BF149" s="10">
        <v>0</v>
      </c>
      <c r="BG149" s="10">
        <v>0</v>
      </c>
      <c r="BH149" s="10">
        <v>0</v>
      </c>
      <c r="BI149" s="10">
        <v>0</v>
      </c>
      <c r="BJ149" s="10">
        <v>0</v>
      </c>
      <c r="BK149" s="10">
        <v>0</v>
      </c>
      <c r="BL149" s="10">
        <v>8391.6669586589323</v>
      </c>
      <c r="BM149" s="10">
        <v>0</v>
      </c>
      <c r="BN149" s="10">
        <v>0</v>
      </c>
      <c r="BO149" s="10">
        <v>0</v>
      </c>
      <c r="BP149" s="12">
        <v>7917.8023251059894</v>
      </c>
      <c r="BQ149" s="12">
        <v>8391.6669586589323</v>
      </c>
      <c r="BR149" s="12">
        <v>7917.8023251059894</v>
      </c>
      <c r="BS149" s="12">
        <v>7917.8023251059894</v>
      </c>
      <c r="BT149" s="12">
        <v>7917.8023251059894</v>
      </c>
      <c r="BU149" s="12">
        <f t="shared" si="3"/>
        <v>40062.876259082892</v>
      </c>
    </row>
    <row r="150" spans="1:73" x14ac:dyDescent="0.25">
      <c r="A150" s="6" t="s">
        <v>258</v>
      </c>
      <c r="B150" s="6" t="s">
        <v>18</v>
      </c>
      <c r="C150" s="18" t="s">
        <v>240</v>
      </c>
      <c r="D150" s="7" t="s">
        <v>241</v>
      </c>
      <c r="E150" s="7" t="s">
        <v>21</v>
      </c>
      <c r="F150" s="7" t="s">
        <v>242</v>
      </c>
      <c r="G150" s="7" t="s">
        <v>23</v>
      </c>
      <c r="H150" s="7" t="s">
        <v>259</v>
      </c>
      <c r="I150" s="6" t="s">
        <v>252</v>
      </c>
      <c r="J150" s="7" t="s">
        <v>244</v>
      </c>
      <c r="K150" s="6" t="s">
        <v>276</v>
      </c>
      <c r="L150" s="9">
        <v>8000</v>
      </c>
      <c r="M150" s="10">
        <v>8800</v>
      </c>
      <c r="N150" s="6" t="s">
        <v>276</v>
      </c>
      <c r="O150" s="11">
        <v>0</v>
      </c>
      <c r="P150" s="11"/>
      <c r="Q150" s="11"/>
      <c r="R150" s="11"/>
      <c r="S150" s="11"/>
      <c r="T150" s="11"/>
      <c r="U150" s="11"/>
      <c r="V150" s="11"/>
      <c r="W150" s="11">
        <v>1</v>
      </c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>
        <v>1.0598479999999999</v>
      </c>
      <c r="AJ150" s="11"/>
      <c r="AK150" s="11"/>
      <c r="AL150" s="11"/>
      <c r="AM150" s="10">
        <v>1</v>
      </c>
      <c r="AN150" s="10">
        <v>1.0598479999999999</v>
      </c>
      <c r="AO150" s="11">
        <v>1</v>
      </c>
      <c r="AP150" s="11">
        <v>1</v>
      </c>
      <c r="AQ150" s="11">
        <v>1</v>
      </c>
      <c r="AR150" s="10">
        <v>0</v>
      </c>
      <c r="AS150" s="10">
        <v>0</v>
      </c>
      <c r="AT150" s="10">
        <v>0</v>
      </c>
      <c r="AU150" s="10">
        <v>0</v>
      </c>
      <c r="AV150" s="10">
        <v>0</v>
      </c>
      <c r="AW150" s="10">
        <v>0</v>
      </c>
      <c r="AX150" s="10">
        <v>0</v>
      </c>
      <c r="AY150" s="10">
        <v>0</v>
      </c>
      <c r="AZ150" s="10">
        <v>7917.8023251059894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10">
        <v>0</v>
      </c>
      <c r="BG150" s="10">
        <v>0</v>
      </c>
      <c r="BH150" s="10">
        <v>0</v>
      </c>
      <c r="BI150" s="10">
        <v>0</v>
      </c>
      <c r="BJ150" s="10">
        <v>0</v>
      </c>
      <c r="BK150" s="10">
        <v>0</v>
      </c>
      <c r="BL150" s="10">
        <v>8391.6669586589323</v>
      </c>
      <c r="BM150" s="10">
        <v>0</v>
      </c>
      <c r="BN150" s="10">
        <v>0</v>
      </c>
      <c r="BO150" s="10">
        <v>0</v>
      </c>
      <c r="BP150" s="12">
        <v>7917.8023251059894</v>
      </c>
      <c r="BQ150" s="12">
        <v>8391.6669586589323</v>
      </c>
      <c r="BR150" s="12">
        <v>7917.8023251059894</v>
      </c>
      <c r="BS150" s="12">
        <v>7917.8023251059894</v>
      </c>
      <c r="BT150" s="12">
        <v>7917.8023251059894</v>
      </c>
      <c r="BU150" s="12">
        <f t="shared" si="3"/>
        <v>40062.876259082892</v>
      </c>
    </row>
    <row r="151" spans="1:73" x14ac:dyDescent="0.25">
      <c r="A151" s="6" t="s">
        <v>42</v>
      </c>
      <c r="B151" s="6" t="s">
        <v>18</v>
      </c>
      <c r="C151" s="18" t="s">
        <v>240</v>
      </c>
      <c r="D151" s="7" t="s">
        <v>241</v>
      </c>
      <c r="E151" s="7" t="s">
        <v>21</v>
      </c>
      <c r="F151" s="7" t="s">
        <v>242</v>
      </c>
      <c r="G151" s="7" t="s">
        <v>23</v>
      </c>
      <c r="H151" s="7" t="s">
        <v>260</v>
      </c>
      <c r="I151" s="6" t="s">
        <v>76</v>
      </c>
      <c r="J151" s="7" t="s">
        <v>244</v>
      </c>
      <c r="K151" s="6" t="s">
        <v>276</v>
      </c>
      <c r="L151" s="9">
        <v>8000</v>
      </c>
      <c r="M151" s="10">
        <v>8800</v>
      </c>
      <c r="N151" s="6" t="s">
        <v>276</v>
      </c>
      <c r="O151" s="11">
        <v>0</v>
      </c>
      <c r="P151" s="11"/>
      <c r="Q151" s="11"/>
      <c r="R151" s="11"/>
      <c r="S151" s="11"/>
      <c r="T151" s="11"/>
      <c r="U151" s="11"/>
      <c r="V151" s="11"/>
      <c r="W151" s="11">
        <v>1</v>
      </c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>
        <v>1.0598479999999999</v>
      </c>
      <c r="AJ151" s="11"/>
      <c r="AK151" s="11"/>
      <c r="AL151" s="11"/>
      <c r="AM151" s="10">
        <v>1</v>
      </c>
      <c r="AN151" s="10">
        <v>1.0598479999999999</v>
      </c>
      <c r="AO151" s="11">
        <v>1</v>
      </c>
      <c r="AP151" s="11">
        <v>1</v>
      </c>
      <c r="AQ151" s="11">
        <v>1</v>
      </c>
      <c r="AR151" s="10">
        <v>0</v>
      </c>
      <c r="AS151" s="10">
        <v>0</v>
      </c>
      <c r="AT151" s="10">
        <v>0</v>
      </c>
      <c r="AU151" s="10">
        <v>0</v>
      </c>
      <c r="AV151" s="10">
        <v>0</v>
      </c>
      <c r="AW151" s="10">
        <v>0</v>
      </c>
      <c r="AX151" s="10">
        <v>0</v>
      </c>
      <c r="AY151" s="10">
        <v>0</v>
      </c>
      <c r="AZ151" s="10">
        <v>7917.8023251059894</v>
      </c>
      <c r="BA151" s="10">
        <v>0</v>
      </c>
      <c r="BB151" s="10">
        <v>0</v>
      </c>
      <c r="BC151" s="10">
        <v>0</v>
      </c>
      <c r="BD151" s="10">
        <v>0</v>
      </c>
      <c r="BE151" s="10">
        <v>0</v>
      </c>
      <c r="BF151" s="10">
        <v>0</v>
      </c>
      <c r="BG151" s="10">
        <v>0</v>
      </c>
      <c r="BH151" s="10">
        <v>0</v>
      </c>
      <c r="BI151" s="10">
        <v>0</v>
      </c>
      <c r="BJ151" s="10">
        <v>0</v>
      </c>
      <c r="BK151" s="10">
        <v>0</v>
      </c>
      <c r="BL151" s="10">
        <v>8391.6669586589323</v>
      </c>
      <c r="BM151" s="10">
        <v>0</v>
      </c>
      <c r="BN151" s="10">
        <v>0</v>
      </c>
      <c r="BO151" s="10">
        <v>0</v>
      </c>
      <c r="BP151" s="12">
        <v>7917.8023251059894</v>
      </c>
      <c r="BQ151" s="12">
        <v>8391.6669586589323</v>
      </c>
      <c r="BR151" s="12">
        <v>7917.8023251059894</v>
      </c>
      <c r="BS151" s="12">
        <v>7917.8023251059894</v>
      </c>
      <c r="BT151" s="12">
        <v>7917.8023251059894</v>
      </c>
      <c r="BU151" s="12">
        <f t="shared" si="3"/>
        <v>40062.876259082892</v>
      </c>
    </row>
    <row r="152" spans="1:73" x14ac:dyDescent="0.25">
      <c r="A152" s="6" t="s">
        <v>42</v>
      </c>
      <c r="B152" s="6" t="s">
        <v>18</v>
      </c>
      <c r="C152" s="18" t="s">
        <v>240</v>
      </c>
      <c r="D152" s="7" t="s">
        <v>241</v>
      </c>
      <c r="E152" s="7" t="s">
        <v>21</v>
      </c>
      <c r="F152" s="7" t="s">
        <v>242</v>
      </c>
      <c r="G152" s="7" t="s">
        <v>23</v>
      </c>
      <c r="H152" s="7" t="s">
        <v>260</v>
      </c>
      <c r="I152" s="6" t="s">
        <v>252</v>
      </c>
      <c r="J152" s="7" t="s">
        <v>244</v>
      </c>
      <c r="K152" s="6" t="s">
        <v>276</v>
      </c>
      <c r="L152" s="9">
        <v>8000</v>
      </c>
      <c r="M152" s="10">
        <v>8800</v>
      </c>
      <c r="N152" s="6" t="s">
        <v>276</v>
      </c>
      <c r="O152" s="11">
        <v>0</v>
      </c>
      <c r="P152" s="11"/>
      <c r="Q152" s="11"/>
      <c r="R152" s="11"/>
      <c r="S152" s="11"/>
      <c r="T152" s="11"/>
      <c r="U152" s="11"/>
      <c r="V152" s="11"/>
      <c r="W152" s="11">
        <v>1</v>
      </c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>
        <v>1.0598479999999999</v>
      </c>
      <c r="AJ152" s="11"/>
      <c r="AK152" s="11"/>
      <c r="AL152" s="11"/>
      <c r="AM152" s="10">
        <v>1</v>
      </c>
      <c r="AN152" s="10">
        <v>1.0598479999999999</v>
      </c>
      <c r="AO152" s="11">
        <v>1</v>
      </c>
      <c r="AP152" s="11">
        <v>1</v>
      </c>
      <c r="AQ152" s="11">
        <v>1</v>
      </c>
      <c r="AR152" s="10">
        <v>0</v>
      </c>
      <c r="AS152" s="10">
        <v>0</v>
      </c>
      <c r="AT152" s="10">
        <v>0</v>
      </c>
      <c r="AU152" s="10">
        <v>0</v>
      </c>
      <c r="AV152" s="10">
        <v>0</v>
      </c>
      <c r="AW152" s="10">
        <v>0</v>
      </c>
      <c r="AX152" s="10">
        <v>0</v>
      </c>
      <c r="AY152" s="10">
        <v>0</v>
      </c>
      <c r="AZ152" s="10">
        <v>7917.8023251059894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10">
        <v>0</v>
      </c>
      <c r="BG152" s="10">
        <v>0</v>
      </c>
      <c r="BH152" s="10">
        <v>0</v>
      </c>
      <c r="BI152" s="10">
        <v>0</v>
      </c>
      <c r="BJ152" s="10">
        <v>0</v>
      </c>
      <c r="BK152" s="10">
        <v>0</v>
      </c>
      <c r="BL152" s="10">
        <v>8391.6669586589323</v>
      </c>
      <c r="BM152" s="10">
        <v>0</v>
      </c>
      <c r="BN152" s="10">
        <v>0</v>
      </c>
      <c r="BO152" s="10">
        <v>0</v>
      </c>
      <c r="BP152" s="12">
        <v>7917.8023251059894</v>
      </c>
      <c r="BQ152" s="12">
        <v>8391.6669586589323</v>
      </c>
      <c r="BR152" s="12">
        <v>7917.8023251059894</v>
      </c>
      <c r="BS152" s="12">
        <v>7917.8023251059894</v>
      </c>
      <c r="BT152" s="12">
        <v>7917.8023251059894</v>
      </c>
      <c r="BU152" s="12">
        <f t="shared" si="3"/>
        <v>40062.876259082892</v>
      </c>
    </row>
    <row r="153" spans="1:73" x14ac:dyDescent="0.25">
      <c r="A153" s="6" t="s">
        <v>28</v>
      </c>
      <c r="B153" s="6" t="s">
        <v>18</v>
      </c>
      <c r="C153" s="18" t="s">
        <v>240</v>
      </c>
      <c r="D153" s="7" t="s">
        <v>241</v>
      </c>
      <c r="E153" s="7" t="s">
        <v>21</v>
      </c>
      <c r="F153" s="7" t="s">
        <v>242</v>
      </c>
      <c r="G153" s="7" t="s">
        <v>23</v>
      </c>
      <c r="H153" s="7" t="s">
        <v>247</v>
      </c>
      <c r="I153" s="6" t="s">
        <v>252</v>
      </c>
      <c r="J153" s="7" t="s">
        <v>244</v>
      </c>
      <c r="K153" s="6" t="s">
        <v>277</v>
      </c>
      <c r="L153" s="9">
        <v>1050</v>
      </c>
      <c r="M153" s="10">
        <v>1155</v>
      </c>
      <c r="N153" s="6" t="s">
        <v>278</v>
      </c>
      <c r="O153" s="11">
        <v>0</v>
      </c>
      <c r="P153" s="11"/>
      <c r="Q153" s="11"/>
      <c r="R153" s="11"/>
      <c r="S153" s="11"/>
      <c r="T153" s="11">
        <v>22</v>
      </c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>
        <v>0</v>
      </c>
      <c r="AJ153" s="11"/>
      <c r="AK153" s="11"/>
      <c r="AL153" s="11"/>
      <c r="AM153" s="10">
        <v>22</v>
      </c>
      <c r="AN153" s="10">
        <v>0</v>
      </c>
      <c r="AO153" s="11">
        <v>24.712111228287998</v>
      </c>
      <c r="AP153" s="11">
        <v>26.191081661078577</v>
      </c>
      <c r="AQ153" s="11">
        <v>27.758565516330805</v>
      </c>
      <c r="AR153" s="10">
        <v>0</v>
      </c>
      <c r="AS153" s="10">
        <v>0</v>
      </c>
      <c r="AT153" s="10">
        <v>0</v>
      </c>
      <c r="AU153" s="10">
        <v>0</v>
      </c>
      <c r="AV153" s="10">
        <v>0</v>
      </c>
      <c r="AW153" s="10">
        <v>22862.654213743543</v>
      </c>
      <c r="AX153" s="10">
        <v>0</v>
      </c>
      <c r="AY153" s="10">
        <v>0</v>
      </c>
      <c r="AZ153" s="10">
        <v>0</v>
      </c>
      <c r="BA153" s="10">
        <v>0</v>
      </c>
      <c r="BB153" s="10">
        <v>0</v>
      </c>
      <c r="BC153" s="10">
        <v>0</v>
      </c>
      <c r="BD153" s="10">
        <v>0</v>
      </c>
      <c r="BE153" s="10">
        <v>0</v>
      </c>
      <c r="BF153" s="10">
        <v>0</v>
      </c>
      <c r="BG153" s="10">
        <v>0</v>
      </c>
      <c r="BH153" s="10">
        <v>0</v>
      </c>
      <c r="BI153" s="10">
        <v>0</v>
      </c>
      <c r="BJ153" s="10">
        <v>0</v>
      </c>
      <c r="BK153" s="10">
        <v>0</v>
      </c>
      <c r="BL153" s="10">
        <v>0</v>
      </c>
      <c r="BM153" s="10">
        <v>0</v>
      </c>
      <c r="BN153" s="10">
        <v>0</v>
      </c>
      <c r="BO153" s="10">
        <v>0</v>
      </c>
      <c r="BP153" s="12">
        <v>22862.654213743543</v>
      </c>
      <c r="BQ153" s="12">
        <v>0</v>
      </c>
      <c r="BR153" s="12">
        <v>25681.111541087168</v>
      </c>
      <c r="BS153" s="12">
        <v>27218.074704598155</v>
      </c>
      <c r="BT153" s="12">
        <v>28847.022039518943</v>
      </c>
      <c r="BU153" s="12">
        <f t="shared" si="3"/>
        <v>104608.86249894781</v>
      </c>
    </row>
    <row r="154" spans="1:73" x14ac:dyDescent="0.25">
      <c r="A154" s="6" t="s">
        <v>30</v>
      </c>
      <c r="B154" s="6" t="s">
        <v>18</v>
      </c>
      <c r="C154" s="18" t="s">
        <v>240</v>
      </c>
      <c r="D154" s="7" t="s">
        <v>241</v>
      </c>
      <c r="E154" s="7" t="s">
        <v>21</v>
      </c>
      <c r="F154" s="7" t="s">
        <v>242</v>
      </c>
      <c r="G154" s="7" t="s">
        <v>23</v>
      </c>
      <c r="H154" s="7" t="s">
        <v>249</v>
      </c>
      <c r="I154" s="6" t="s">
        <v>252</v>
      </c>
      <c r="J154" s="7" t="s">
        <v>244</v>
      </c>
      <c r="K154" s="6" t="s">
        <v>277</v>
      </c>
      <c r="L154" s="9">
        <v>1050</v>
      </c>
      <c r="M154" s="10">
        <v>1155</v>
      </c>
      <c r="N154" s="6" t="s">
        <v>278</v>
      </c>
      <c r="O154" s="11">
        <v>0</v>
      </c>
      <c r="P154" s="11"/>
      <c r="Q154" s="11"/>
      <c r="R154" s="11"/>
      <c r="S154" s="11"/>
      <c r="T154" s="11">
        <v>13</v>
      </c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>
        <v>0</v>
      </c>
      <c r="AJ154" s="11"/>
      <c r="AK154" s="11"/>
      <c r="AL154" s="11"/>
      <c r="AM154" s="10">
        <v>13</v>
      </c>
      <c r="AN154" s="10">
        <v>0</v>
      </c>
      <c r="AO154" s="11">
        <v>14.602611180351996</v>
      </c>
      <c r="AP154" s="11">
        <v>15.4765482542737</v>
      </c>
      <c r="AQ154" s="11">
        <v>16.40278871419547</v>
      </c>
      <c r="AR154" s="10">
        <v>0</v>
      </c>
      <c r="AS154" s="10">
        <v>0</v>
      </c>
      <c r="AT154" s="10">
        <v>0</v>
      </c>
      <c r="AU154" s="10">
        <v>0</v>
      </c>
      <c r="AV154" s="10">
        <v>0</v>
      </c>
      <c r="AW154" s="10">
        <v>13509.750217212095</v>
      </c>
      <c r="AX154" s="10">
        <v>0</v>
      </c>
      <c r="AY154" s="10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10">
        <v>0</v>
      </c>
      <c r="BG154" s="10">
        <v>0</v>
      </c>
      <c r="BH154" s="10">
        <v>0</v>
      </c>
      <c r="BI154" s="10">
        <v>0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0</v>
      </c>
      <c r="BP154" s="12">
        <v>13509.750217212095</v>
      </c>
      <c r="BQ154" s="12">
        <v>0</v>
      </c>
      <c r="BR154" s="12">
        <v>15175.202274278779</v>
      </c>
      <c r="BS154" s="12">
        <v>16083.407779989813</v>
      </c>
      <c r="BT154" s="12">
        <v>17045.967568806642</v>
      </c>
      <c r="BU154" s="12">
        <f t="shared" si="3"/>
        <v>61814.327840287333</v>
      </c>
    </row>
    <row r="155" spans="1:73" x14ac:dyDescent="0.25">
      <c r="A155" s="6" t="s">
        <v>32</v>
      </c>
      <c r="B155" s="6" t="s">
        <v>18</v>
      </c>
      <c r="C155" s="18" t="s">
        <v>240</v>
      </c>
      <c r="D155" s="7" t="s">
        <v>241</v>
      </c>
      <c r="E155" s="7" t="s">
        <v>21</v>
      </c>
      <c r="F155" s="7" t="s">
        <v>242</v>
      </c>
      <c r="G155" s="7" t="s">
        <v>23</v>
      </c>
      <c r="H155" s="7" t="s">
        <v>250</v>
      </c>
      <c r="I155" s="6" t="s">
        <v>252</v>
      </c>
      <c r="J155" s="7" t="s">
        <v>244</v>
      </c>
      <c r="K155" s="6" t="s">
        <v>277</v>
      </c>
      <c r="L155" s="9">
        <v>1050</v>
      </c>
      <c r="M155" s="10">
        <v>1155</v>
      </c>
      <c r="N155" s="6" t="s">
        <v>278</v>
      </c>
      <c r="O155" s="11">
        <v>0</v>
      </c>
      <c r="P155" s="11"/>
      <c r="Q155" s="11"/>
      <c r="R155" s="11"/>
      <c r="S155" s="11"/>
      <c r="T155" s="11">
        <v>5</v>
      </c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>
        <v>0</v>
      </c>
      <c r="AJ155" s="11"/>
      <c r="AK155" s="11"/>
      <c r="AL155" s="11"/>
      <c r="AM155" s="10">
        <v>5</v>
      </c>
      <c r="AN155" s="10">
        <v>0</v>
      </c>
      <c r="AO155" s="11">
        <v>5.6163889155199991</v>
      </c>
      <c r="AP155" s="11">
        <v>5.9525185593360392</v>
      </c>
      <c r="AQ155" s="11">
        <v>6.3087648900751816</v>
      </c>
      <c r="AR155" s="10">
        <v>0</v>
      </c>
      <c r="AS155" s="10">
        <v>0</v>
      </c>
      <c r="AT155" s="10">
        <v>0</v>
      </c>
      <c r="AU155" s="10">
        <v>0</v>
      </c>
      <c r="AV155" s="10">
        <v>0</v>
      </c>
      <c r="AW155" s="10">
        <v>5196.0577758508052</v>
      </c>
      <c r="AX155" s="10">
        <v>0</v>
      </c>
      <c r="AY155" s="10">
        <v>0</v>
      </c>
      <c r="AZ155" s="10">
        <v>0</v>
      </c>
      <c r="BA155" s="10">
        <v>0</v>
      </c>
      <c r="BB155" s="10">
        <v>0</v>
      </c>
      <c r="BC155" s="10">
        <v>0</v>
      </c>
      <c r="BD155" s="10">
        <v>0</v>
      </c>
      <c r="BE155" s="10">
        <v>0</v>
      </c>
      <c r="BF155" s="10">
        <v>0</v>
      </c>
      <c r="BG155" s="10">
        <v>0</v>
      </c>
      <c r="BH155" s="10">
        <v>0</v>
      </c>
      <c r="BI155" s="10">
        <v>0</v>
      </c>
      <c r="BJ155" s="10">
        <v>0</v>
      </c>
      <c r="BK155" s="10">
        <v>0</v>
      </c>
      <c r="BL155" s="10">
        <v>0</v>
      </c>
      <c r="BM155" s="10">
        <v>0</v>
      </c>
      <c r="BN155" s="10">
        <v>0</v>
      </c>
      <c r="BO155" s="10">
        <v>0</v>
      </c>
      <c r="BP155" s="12">
        <v>5196.0577758508052</v>
      </c>
      <c r="BQ155" s="12">
        <v>0</v>
      </c>
      <c r="BR155" s="12">
        <v>5836.6162593379922</v>
      </c>
      <c r="BS155" s="12">
        <v>6185.9260692268526</v>
      </c>
      <c r="BT155" s="12">
        <v>6556.1413726179399</v>
      </c>
      <c r="BU155" s="12">
        <f t="shared" si="3"/>
        <v>23774.741477033589</v>
      </c>
    </row>
    <row r="156" spans="1:73" x14ac:dyDescent="0.25">
      <c r="A156" s="6" t="s">
        <v>34</v>
      </c>
      <c r="B156" s="6" t="s">
        <v>18</v>
      </c>
      <c r="C156" s="18" t="s">
        <v>240</v>
      </c>
      <c r="D156" s="7" t="s">
        <v>241</v>
      </c>
      <c r="E156" s="7" t="s">
        <v>21</v>
      </c>
      <c r="F156" s="7" t="s">
        <v>242</v>
      </c>
      <c r="G156" s="7" t="s">
        <v>23</v>
      </c>
      <c r="H156" s="7" t="s">
        <v>251</v>
      </c>
      <c r="I156" s="6" t="s">
        <v>252</v>
      </c>
      <c r="J156" s="7" t="s">
        <v>244</v>
      </c>
      <c r="K156" s="6" t="s">
        <v>277</v>
      </c>
      <c r="L156" s="9">
        <v>1050</v>
      </c>
      <c r="M156" s="10">
        <v>1155</v>
      </c>
      <c r="N156" s="6" t="s">
        <v>278</v>
      </c>
      <c r="O156" s="11">
        <v>0</v>
      </c>
      <c r="P156" s="11"/>
      <c r="Q156" s="11"/>
      <c r="R156" s="11"/>
      <c r="S156" s="11"/>
      <c r="T156" s="11">
        <v>13</v>
      </c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>
        <v>0</v>
      </c>
      <c r="AJ156" s="11"/>
      <c r="AK156" s="11"/>
      <c r="AL156" s="11"/>
      <c r="AM156" s="10">
        <v>13</v>
      </c>
      <c r="AN156" s="10">
        <v>0</v>
      </c>
      <c r="AO156" s="11">
        <v>14.602611180351996</v>
      </c>
      <c r="AP156" s="11">
        <v>15.4765482542737</v>
      </c>
      <c r="AQ156" s="11">
        <v>16.40278871419547</v>
      </c>
      <c r="AR156" s="10">
        <v>0</v>
      </c>
      <c r="AS156" s="10">
        <v>0</v>
      </c>
      <c r="AT156" s="10">
        <v>0</v>
      </c>
      <c r="AU156" s="10">
        <v>0</v>
      </c>
      <c r="AV156" s="10">
        <v>0</v>
      </c>
      <c r="AW156" s="10">
        <v>13509.750217212095</v>
      </c>
      <c r="AX156" s="10">
        <v>0</v>
      </c>
      <c r="AY156" s="10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  <c r="BP156" s="12">
        <v>13509.750217212095</v>
      </c>
      <c r="BQ156" s="12">
        <v>0</v>
      </c>
      <c r="BR156" s="12">
        <v>15175.202274278779</v>
      </c>
      <c r="BS156" s="12">
        <v>16083.407779989813</v>
      </c>
      <c r="BT156" s="12">
        <v>17045.967568806642</v>
      </c>
      <c r="BU156" s="12">
        <f t="shared" si="3"/>
        <v>61814.327840287333</v>
      </c>
    </row>
    <row r="157" spans="1:73" x14ac:dyDescent="0.25">
      <c r="A157" s="6" t="s">
        <v>17</v>
      </c>
      <c r="B157" s="6" t="s">
        <v>18</v>
      </c>
      <c r="C157" s="18" t="s">
        <v>240</v>
      </c>
      <c r="D157" s="7" t="s">
        <v>241</v>
      </c>
      <c r="E157" s="7" t="s">
        <v>21</v>
      </c>
      <c r="F157" s="7" t="s">
        <v>242</v>
      </c>
      <c r="G157" s="7" t="s">
        <v>23</v>
      </c>
      <c r="H157" s="7" t="s">
        <v>254</v>
      </c>
      <c r="I157" s="6" t="s">
        <v>76</v>
      </c>
      <c r="J157" s="7" t="s">
        <v>244</v>
      </c>
      <c r="K157" s="6" t="s">
        <v>245</v>
      </c>
      <c r="L157" s="9">
        <v>4339.9667832841369</v>
      </c>
      <c r="M157" s="10">
        <v>0</v>
      </c>
      <c r="N157" s="6" t="s">
        <v>279</v>
      </c>
      <c r="O157" s="11">
        <v>0</v>
      </c>
      <c r="P157" s="11"/>
      <c r="Q157" s="11"/>
      <c r="R157" s="11"/>
      <c r="S157" s="11">
        <v>1</v>
      </c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>
        <v>0</v>
      </c>
      <c r="AJ157" s="11"/>
      <c r="AK157" s="11"/>
      <c r="AL157" s="11"/>
      <c r="AM157" s="10">
        <v>1</v>
      </c>
      <c r="AN157" s="10">
        <v>0</v>
      </c>
      <c r="AO157" s="11">
        <v>0</v>
      </c>
      <c r="AP157" s="11">
        <v>0</v>
      </c>
      <c r="AQ157" s="11">
        <v>0</v>
      </c>
      <c r="AR157" s="10">
        <v>0</v>
      </c>
      <c r="AS157" s="10">
        <v>0</v>
      </c>
      <c r="AT157" s="10">
        <v>0</v>
      </c>
      <c r="AU157" s="10">
        <v>0</v>
      </c>
      <c r="AV157" s="10">
        <v>4295.3748859462376</v>
      </c>
      <c r="AW157" s="10">
        <v>0</v>
      </c>
      <c r="AX157" s="10">
        <v>0</v>
      </c>
      <c r="AY157" s="10">
        <v>0</v>
      </c>
      <c r="AZ157" s="10">
        <v>0</v>
      </c>
      <c r="BA157" s="10">
        <v>0</v>
      </c>
      <c r="BB157" s="10">
        <v>0</v>
      </c>
      <c r="BC157" s="10">
        <v>0</v>
      </c>
      <c r="BD157" s="10">
        <v>0</v>
      </c>
      <c r="BE157" s="10">
        <v>0</v>
      </c>
      <c r="BF157" s="10">
        <v>0</v>
      </c>
      <c r="BG157" s="10">
        <v>0</v>
      </c>
      <c r="BH157" s="10">
        <v>0</v>
      </c>
      <c r="BI157" s="10">
        <v>0</v>
      </c>
      <c r="BJ157" s="10">
        <v>0</v>
      </c>
      <c r="BK157" s="10">
        <v>0</v>
      </c>
      <c r="BL157" s="10">
        <v>0</v>
      </c>
      <c r="BM157" s="10">
        <v>0</v>
      </c>
      <c r="BN157" s="10">
        <v>0</v>
      </c>
      <c r="BO157" s="10">
        <v>0</v>
      </c>
      <c r="BP157" s="12">
        <v>4295.3748859462376</v>
      </c>
      <c r="BQ157" s="12">
        <v>0</v>
      </c>
      <c r="BR157" s="12">
        <v>0</v>
      </c>
      <c r="BS157" s="12">
        <v>0</v>
      </c>
      <c r="BT157" s="12">
        <v>0</v>
      </c>
      <c r="BU157" s="12">
        <f t="shared" si="3"/>
        <v>4295.3748859462376</v>
      </c>
    </row>
    <row r="158" spans="1:73" x14ac:dyDescent="0.25">
      <c r="A158" s="6" t="s">
        <v>40</v>
      </c>
      <c r="B158" s="6" t="s">
        <v>18</v>
      </c>
      <c r="C158" s="18" t="s">
        <v>240</v>
      </c>
      <c r="D158" s="7" t="s">
        <v>241</v>
      </c>
      <c r="E158" s="7" t="s">
        <v>21</v>
      </c>
      <c r="F158" s="7" t="s">
        <v>242</v>
      </c>
      <c r="G158" s="7" t="s">
        <v>23</v>
      </c>
      <c r="H158" s="7" t="s">
        <v>256</v>
      </c>
      <c r="I158" s="6" t="s">
        <v>76</v>
      </c>
      <c r="J158" s="7" t="s">
        <v>244</v>
      </c>
      <c r="K158" s="6" t="s">
        <v>245</v>
      </c>
      <c r="L158" s="9">
        <v>62392.100648902961</v>
      </c>
      <c r="M158" s="10">
        <v>0</v>
      </c>
      <c r="N158" s="6" t="s">
        <v>279</v>
      </c>
      <c r="O158" s="11">
        <v>0</v>
      </c>
      <c r="P158" s="11"/>
      <c r="Q158" s="11"/>
      <c r="R158" s="11"/>
      <c r="S158" s="11">
        <v>1</v>
      </c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>
        <v>0</v>
      </c>
      <c r="AJ158" s="11"/>
      <c r="AK158" s="11"/>
      <c r="AL158" s="11"/>
      <c r="AM158" s="10">
        <v>1</v>
      </c>
      <c r="AN158" s="10">
        <v>0</v>
      </c>
      <c r="AO158" s="11">
        <v>0</v>
      </c>
      <c r="AP158" s="11">
        <v>0</v>
      </c>
      <c r="AQ158" s="11">
        <v>0</v>
      </c>
      <c r="AR158" s="10">
        <v>0</v>
      </c>
      <c r="AS158" s="10">
        <v>0</v>
      </c>
      <c r="AT158" s="10">
        <v>0</v>
      </c>
      <c r="AU158" s="10">
        <v>0</v>
      </c>
      <c r="AV158" s="10">
        <v>61751.039948266349</v>
      </c>
      <c r="AW158" s="10">
        <v>0</v>
      </c>
      <c r="AX158" s="10">
        <v>0</v>
      </c>
      <c r="AY158" s="10">
        <v>0</v>
      </c>
      <c r="AZ158" s="10">
        <v>0</v>
      </c>
      <c r="BA158" s="10">
        <v>0</v>
      </c>
      <c r="BB158" s="10">
        <v>0</v>
      </c>
      <c r="BC158" s="10">
        <v>0</v>
      </c>
      <c r="BD158" s="10">
        <v>0</v>
      </c>
      <c r="BE158" s="10">
        <v>0</v>
      </c>
      <c r="BF158" s="10">
        <v>0</v>
      </c>
      <c r="BG158" s="10">
        <v>0</v>
      </c>
      <c r="BH158" s="10">
        <v>0</v>
      </c>
      <c r="BI158" s="10">
        <v>0</v>
      </c>
      <c r="BJ158" s="10">
        <v>0</v>
      </c>
      <c r="BK158" s="10">
        <v>0</v>
      </c>
      <c r="BL158" s="10">
        <v>0</v>
      </c>
      <c r="BM158" s="10">
        <v>0</v>
      </c>
      <c r="BN158" s="10">
        <v>0</v>
      </c>
      <c r="BO158" s="10">
        <v>0</v>
      </c>
      <c r="BP158" s="12">
        <v>61751.039948266349</v>
      </c>
      <c r="BQ158" s="12">
        <v>0</v>
      </c>
      <c r="BR158" s="12">
        <v>0</v>
      </c>
      <c r="BS158" s="12">
        <v>0</v>
      </c>
      <c r="BT158" s="12">
        <v>0</v>
      </c>
      <c r="BU158" s="12">
        <f t="shared" si="3"/>
        <v>61751.039948266349</v>
      </c>
    </row>
    <row r="159" spans="1:73" x14ac:dyDescent="0.25">
      <c r="A159" s="6" t="s">
        <v>32</v>
      </c>
      <c r="B159" s="6" t="s">
        <v>18</v>
      </c>
      <c r="C159" s="18" t="s">
        <v>240</v>
      </c>
      <c r="D159" s="7" t="s">
        <v>241</v>
      </c>
      <c r="E159" s="7" t="s">
        <v>21</v>
      </c>
      <c r="F159" s="7" t="s">
        <v>242</v>
      </c>
      <c r="G159" s="7" t="s">
        <v>23</v>
      </c>
      <c r="H159" s="7" t="s">
        <v>250</v>
      </c>
      <c r="I159" s="6" t="s">
        <v>76</v>
      </c>
      <c r="J159" s="7" t="s">
        <v>244</v>
      </c>
      <c r="K159" s="6" t="s">
        <v>245</v>
      </c>
      <c r="L159" s="9">
        <v>125062.16934602513</v>
      </c>
      <c r="M159" s="10">
        <v>0</v>
      </c>
      <c r="N159" s="6" t="s">
        <v>279</v>
      </c>
      <c r="O159" s="11">
        <v>0</v>
      </c>
      <c r="P159" s="11"/>
      <c r="Q159" s="11"/>
      <c r="R159" s="11"/>
      <c r="S159" s="11">
        <v>1</v>
      </c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>
        <v>0</v>
      </c>
      <c r="AJ159" s="11"/>
      <c r="AK159" s="11"/>
      <c r="AL159" s="11"/>
      <c r="AM159" s="10">
        <v>1</v>
      </c>
      <c r="AN159" s="10">
        <v>0</v>
      </c>
      <c r="AO159" s="11">
        <v>0</v>
      </c>
      <c r="AP159" s="11">
        <v>0</v>
      </c>
      <c r="AQ159" s="11">
        <v>0</v>
      </c>
      <c r="AR159" s="10">
        <v>0</v>
      </c>
      <c r="AS159" s="10">
        <v>0</v>
      </c>
      <c r="AT159" s="10">
        <v>0</v>
      </c>
      <c r="AU159" s="10">
        <v>0</v>
      </c>
      <c r="AV159" s="10">
        <v>123777.19190384459</v>
      </c>
      <c r="AW159" s="10">
        <v>0</v>
      </c>
      <c r="AX159" s="10">
        <v>0</v>
      </c>
      <c r="AY159" s="10">
        <v>0</v>
      </c>
      <c r="AZ159" s="10">
        <v>0</v>
      </c>
      <c r="BA159" s="10">
        <v>0</v>
      </c>
      <c r="BB159" s="10">
        <v>0</v>
      </c>
      <c r="BC159" s="10">
        <v>0</v>
      </c>
      <c r="BD159" s="10">
        <v>0</v>
      </c>
      <c r="BE159" s="10">
        <v>0</v>
      </c>
      <c r="BF159" s="10">
        <v>0</v>
      </c>
      <c r="BG159" s="10">
        <v>0</v>
      </c>
      <c r="BH159" s="10">
        <v>0</v>
      </c>
      <c r="BI159" s="10">
        <v>0</v>
      </c>
      <c r="BJ159" s="10">
        <v>0</v>
      </c>
      <c r="BK159" s="10">
        <v>0</v>
      </c>
      <c r="BL159" s="10">
        <v>0</v>
      </c>
      <c r="BM159" s="10">
        <v>0</v>
      </c>
      <c r="BN159" s="10">
        <v>0</v>
      </c>
      <c r="BO159" s="10">
        <v>0</v>
      </c>
      <c r="BP159" s="12">
        <v>123777.19190384459</v>
      </c>
      <c r="BQ159" s="12">
        <v>0</v>
      </c>
      <c r="BR159" s="12">
        <v>0</v>
      </c>
      <c r="BS159" s="12">
        <v>0</v>
      </c>
      <c r="BT159" s="12">
        <v>0</v>
      </c>
      <c r="BU159" s="12">
        <f t="shared" si="3"/>
        <v>123777.19190384459</v>
      </c>
    </row>
    <row r="160" spans="1:73" x14ac:dyDescent="0.25">
      <c r="A160" s="6" t="s">
        <v>42</v>
      </c>
      <c r="B160" s="6" t="s">
        <v>18</v>
      </c>
      <c r="C160" s="18" t="s">
        <v>240</v>
      </c>
      <c r="D160" s="7" t="s">
        <v>241</v>
      </c>
      <c r="E160" s="7" t="s">
        <v>21</v>
      </c>
      <c r="F160" s="7" t="s">
        <v>242</v>
      </c>
      <c r="G160" s="7" t="s">
        <v>23</v>
      </c>
      <c r="H160" s="7" t="s">
        <v>260</v>
      </c>
      <c r="I160" s="6" t="s">
        <v>76</v>
      </c>
      <c r="J160" s="7" t="s">
        <v>244</v>
      </c>
      <c r="K160" s="6" t="s">
        <v>245</v>
      </c>
      <c r="L160" s="9">
        <v>284679.52202521439</v>
      </c>
      <c r="M160" s="10">
        <v>0</v>
      </c>
      <c r="N160" s="6" t="s">
        <v>279</v>
      </c>
      <c r="O160" s="11">
        <v>0</v>
      </c>
      <c r="P160" s="11"/>
      <c r="Q160" s="11"/>
      <c r="R160" s="11"/>
      <c r="S160" s="11">
        <v>1</v>
      </c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>
        <v>0</v>
      </c>
      <c r="AJ160" s="11"/>
      <c r="AK160" s="11"/>
      <c r="AL160" s="11"/>
      <c r="AM160" s="10">
        <v>1</v>
      </c>
      <c r="AN160" s="10">
        <v>0</v>
      </c>
      <c r="AO160" s="11">
        <v>0</v>
      </c>
      <c r="AP160" s="11">
        <v>0</v>
      </c>
      <c r="AQ160" s="11">
        <v>0</v>
      </c>
      <c r="AR160" s="10">
        <v>0</v>
      </c>
      <c r="AS160" s="10">
        <v>0</v>
      </c>
      <c r="AT160" s="10">
        <v>0</v>
      </c>
      <c r="AU160" s="10">
        <v>0</v>
      </c>
      <c r="AV160" s="10">
        <v>281754.522675163</v>
      </c>
      <c r="AW160" s="10">
        <v>0</v>
      </c>
      <c r="AX160" s="10">
        <v>0</v>
      </c>
      <c r="AY160" s="10">
        <v>0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0</v>
      </c>
      <c r="BF160" s="10">
        <v>0</v>
      </c>
      <c r="BG160" s="10">
        <v>0</v>
      </c>
      <c r="BH160" s="10">
        <v>0</v>
      </c>
      <c r="BI160" s="10">
        <v>0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0</v>
      </c>
      <c r="BP160" s="12">
        <v>281754.522675163</v>
      </c>
      <c r="BQ160" s="12">
        <v>0</v>
      </c>
      <c r="BR160" s="12">
        <v>0</v>
      </c>
      <c r="BS160" s="12">
        <v>0</v>
      </c>
      <c r="BT160" s="12">
        <v>0</v>
      </c>
      <c r="BU160" s="12">
        <f t="shared" si="3"/>
        <v>281754.522675163</v>
      </c>
    </row>
    <row r="161" spans="1:73" x14ac:dyDescent="0.25">
      <c r="A161" s="6" t="s">
        <v>30</v>
      </c>
      <c r="B161" s="6" t="s">
        <v>18</v>
      </c>
      <c r="C161" s="18" t="s">
        <v>240</v>
      </c>
      <c r="D161" s="7" t="s">
        <v>241</v>
      </c>
      <c r="E161" s="7" t="s">
        <v>21</v>
      </c>
      <c r="F161" s="7" t="s">
        <v>242</v>
      </c>
      <c r="G161" s="7" t="s">
        <v>23</v>
      </c>
      <c r="H161" s="7" t="s">
        <v>249</v>
      </c>
      <c r="I161" s="6" t="s">
        <v>76</v>
      </c>
      <c r="J161" s="7" t="s">
        <v>244</v>
      </c>
      <c r="K161" s="6" t="s">
        <v>245</v>
      </c>
      <c r="L161" s="9">
        <v>551333.58291709179</v>
      </c>
      <c r="M161" s="10">
        <v>0</v>
      </c>
      <c r="N161" s="6" t="s">
        <v>279</v>
      </c>
      <c r="O161" s="11">
        <v>0</v>
      </c>
      <c r="P161" s="11"/>
      <c r="Q161" s="11"/>
      <c r="R161" s="11"/>
      <c r="S161" s="11">
        <v>1</v>
      </c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>
        <v>0</v>
      </c>
      <c r="AJ161" s="11"/>
      <c r="AK161" s="11"/>
      <c r="AL161" s="11"/>
      <c r="AM161" s="10">
        <v>1</v>
      </c>
      <c r="AN161" s="10">
        <v>0</v>
      </c>
      <c r="AO161" s="11">
        <v>0</v>
      </c>
      <c r="AP161" s="11">
        <v>0</v>
      </c>
      <c r="AQ161" s="11">
        <v>0</v>
      </c>
      <c r="AR161" s="10">
        <v>0</v>
      </c>
      <c r="AS161" s="10">
        <v>0</v>
      </c>
      <c r="AT161" s="10">
        <v>0</v>
      </c>
      <c r="AU161" s="10">
        <v>0</v>
      </c>
      <c r="AV161" s="10">
        <v>545668.79059124563</v>
      </c>
      <c r="AW161" s="10">
        <v>0</v>
      </c>
      <c r="AX161" s="10">
        <v>0</v>
      </c>
      <c r="AY161" s="10">
        <v>0</v>
      </c>
      <c r="AZ161" s="10">
        <v>0</v>
      </c>
      <c r="BA161" s="10">
        <v>0</v>
      </c>
      <c r="BB161" s="10">
        <v>0</v>
      </c>
      <c r="BC161" s="10">
        <v>0</v>
      </c>
      <c r="BD161" s="10">
        <v>0</v>
      </c>
      <c r="BE161" s="10">
        <v>0</v>
      </c>
      <c r="BF161" s="10">
        <v>0</v>
      </c>
      <c r="BG161" s="10">
        <v>0</v>
      </c>
      <c r="BH161" s="10">
        <v>0</v>
      </c>
      <c r="BI161" s="10">
        <v>0</v>
      </c>
      <c r="BJ161" s="10">
        <v>0</v>
      </c>
      <c r="BK161" s="10">
        <v>0</v>
      </c>
      <c r="BL161" s="10">
        <v>0</v>
      </c>
      <c r="BM161" s="10">
        <v>0</v>
      </c>
      <c r="BN161" s="10">
        <v>0</v>
      </c>
      <c r="BO161" s="10">
        <v>0</v>
      </c>
      <c r="BP161" s="12">
        <v>545668.79059124563</v>
      </c>
      <c r="BQ161" s="12">
        <v>0</v>
      </c>
      <c r="BR161" s="12">
        <v>0</v>
      </c>
      <c r="BS161" s="12">
        <v>0</v>
      </c>
      <c r="BT161" s="12">
        <v>0</v>
      </c>
      <c r="BU161" s="12">
        <f t="shared" si="3"/>
        <v>545668.79059124563</v>
      </c>
    </row>
    <row r="162" spans="1:73" x14ac:dyDescent="0.25">
      <c r="A162" s="6" t="s">
        <v>38</v>
      </c>
      <c r="B162" s="6" t="s">
        <v>18</v>
      </c>
      <c r="C162" s="18" t="s">
        <v>240</v>
      </c>
      <c r="D162" s="7" t="s">
        <v>241</v>
      </c>
      <c r="E162" s="7" t="s">
        <v>21</v>
      </c>
      <c r="F162" s="7" t="s">
        <v>242</v>
      </c>
      <c r="G162" s="7" t="s">
        <v>23</v>
      </c>
      <c r="H162" s="7" t="s">
        <v>243</v>
      </c>
      <c r="I162" s="6" t="s">
        <v>76</v>
      </c>
      <c r="J162" s="7" t="s">
        <v>244</v>
      </c>
      <c r="K162" s="6" t="s">
        <v>245</v>
      </c>
      <c r="L162" s="9">
        <v>765664.07813671813</v>
      </c>
      <c r="M162" s="10">
        <v>0</v>
      </c>
      <c r="N162" s="6" t="s">
        <v>279</v>
      </c>
      <c r="O162" s="11">
        <v>0</v>
      </c>
      <c r="P162" s="11"/>
      <c r="Q162" s="11"/>
      <c r="R162" s="11"/>
      <c r="S162" s="11">
        <v>1</v>
      </c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>
        <v>0</v>
      </c>
      <c r="AJ162" s="11"/>
      <c r="AK162" s="11"/>
      <c r="AL162" s="11"/>
      <c r="AM162" s="10">
        <v>1</v>
      </c>
      <c r="AN162" s="10">
        <v>0</v>
      </c>
      <c r="AO162" s="11">
        <v>0</v>
      </c>
      <c r="AP162" s="11">
        <v>0</v>
      </c>
      <c r="AQ162" s="11">
        <v>0</v>
      </c>
      <c r="AR162" s="10">
        <v>0</v>
      </c>
      <c r="AS162" s="10">
        <v>0</v>
      </c>
      <c r="AT162" s="10">
        <v>0</v>
      </c>
      <c r="AU162" s="10">
        <v>0</v>
      </c>
      <c r="AV162" s="10">
        <v>757797.10226513003</v>
      </c>
      <c r="AW162" s="10">
        <v>0</v>
      </c>
      <c r="AX162" s="10">
        <v>0</v>
      </c>
      <c r="AY162" s="10">
        <v>0</v>
      </c>
      <c r="AZ162" s="10">
        <v>0</v>
      </c>
      <c r="BA162" s="10">
        <v>0</v>
      </c>
      <c r="BB162" s="10">
        <v>0</v>
      </c>
      <c r="BC162" s="10">
        <v>0</v>
      </c>
      <c r="BD162" s="10">
        <v>0</v>
      </c>
      <c r="BE162" s="10">
        <v>0</v>
      </c>
      <c r="BF162" s="10">
        <v>0</v>
      </c>
      <c r="BG162" s="10">
        <v>0</v>
      </c>
      <c r="BH162" s="10">
        <v>0</v>
      </c>
      <c r="BI162" s="10">
        <v>0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  <c r="BP162" s="12">
        <v>757797.10226513003</v>
      </c>
      <c r="BQ162" s="12">
        <v>0</v>
      </c>
      <c r="BR162" s="12">
        <v>0</v>
      </c>
      <c r="BS162" s="12">
        <v>0</v>
      </c>
      <c r="BT162" s="12">
        <v>0</v>
      </c>
      <c r="BU162" s="12">
        <f t="shared" si="3"/>
        <v>757797.10226513003</v>
      </c>
    </row>
    <row r="163" spans="1:73" x14ac:dyDescent="0.25">
      <c r="A163" s="6" t="s">
        <v>34</v>
      </c>
      <c r="B163" s="6" t="s">
        <v>18</v>
      </c>
      <c r="C163" s="18" t="s">
        <v>240</v>
      </c>
      <c r="D163" s="7" t="s">
        <v>241</v>
      </c>
      <c r="E163" s="7" t="s">
        <v>21</v>
      </c>
      <c r="F163" s="7" t="s">
        <v>242</v>
      </c>
      <c r="G163" s="7" t="s">
        <v>23</v>
      </c>
      <c r="H163" s="7" t="s">
        <v>251</v>
      </c>
      <c r="I163" s="6" t="s">
        <v>76</v>
      </c>
      <c r="J163" s="7" t="s">
        <v>244</v>
      </c>
      <c r="K163" s="6" t="s">
        <v>245</v>
      </c>
      <c r="L163" s="9">
        <v>1099714.305320106</v>
      </c>
      <c r="M163" s="10">
        <v>0</v>
      </c>
      <c r="N163" s="6" t="s">
        <v>279</v>
      </c>
      <c r="O163" s="11">
        <v>0</v>
      </c>
      <c r="P163" s="11"/>
      <c r="Q163" s="11"/>
      <c r="R163" s="11"/>
      <c r="S163" s="11">
        <v>1</v>
      </c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>
        <v>0</v>
      </c>
      <c r="AJ163" s="11"/>
      <c r="AK163" s="11"/>
      <c r="AL163" s="11"/>
      <c r="AM163" s="10">
        <v>1</v>
      </c>
      <c r="AN163" s="10">
        <v>0</v>
      </c>
      <c r="AO163" s="11">
        <v>0</v>
      </c>
      <c r="AP163" s="11">
        <v>0</v>
      </c>
      <c r="AQ163" s="11">
        <v>0</v>
      </c>
      <c r="AR163" s="10">
        <v>0</v>
      </c>
      <c r="AS163" s="10">
        <v>0</v>
      </c>
      <c r="AT163" s="10">
        <v>0</v>
      </c>
      <c r="AU163" s="10">
        <v>0</v>
      </c>
      <c r="AV163" s="10">
        <v>1088415.0604519816</v>
      </c>
      <c r="AW163" s="10">
        <v>0</v>
      </c>
      <c r="AX163" s="10">
        <v>0</v>
      </c>
      <c r="AY163" s="10">
        <v>0</v>
      </c>
      <c r="AZ163" s="10">
        <v>0</v>
      </c>
      <c r="BA163" s="10">
        <v>0</v>
      </c>
      <c r="BB163" s="10">
        <v>0</v>
      </c>
      <c r="BC163" s="10">
        <v>0</v>
      </c>
      <c r="BD163" s="10">
        <v>0</v>
      </c>
      <c r="BE163" s="10">
        <v>0</v>
      </c>
      <c r="BF163" s="10">
        <v>0</v>
      </c>
      <c r="BG163" s="10">
        <v>0</v>
      </c>
      <c r="BH163" s="10">
        <v>0</v>
      </c>
      <c r="BI163" s="10">
        <v>0</v>
      </c>
      <c r="BJ163" s="10">
        <v>0</v>
      </c>
      <c r="BK163" s="10">
        <v>0</v>
      </c>
      <c r="BL163" s="10">
        <v>0</v>
      </c>
      <c r="BM163" s="10">
        <v>0</v>
      </c>
      <c r="BN163" s="10">
        <v>0</v>
      </c>
      <c r="BO163" s="10">
        <v>0</v>
      </c>
      <c r="BP163" s="12">
        <v>1088415.0604519816</v>
      </c>
      <c r="BQ163" s="12">
        <v>0</v>
      </c>
      <c r="BR163" s="12">
        <v>0</v>
      </c>
      <c r="BS163" s="12">
        <v>0</v>
      </c>
      <c r="BT163" s="12">
        <v>0</v>
      </c>
      <c r="BU163" s="12">
        <f t="shared" si="3"/>
        <v>1088415.0604519816</v>
      </c>
    </row>
    <row r="164" spans="1:73" x14ac:dyDescent="0.25">
      <c r="A164" s="6" t="s">
        <v>28</v>
      </c>
      <c r="B164" s="6" t="s">
        <v>18</v>
      </c>
      <c r="C164" s="18" t="s">
        <v>240</v>
      </c>
      <c r="D164" s="7" t="s">
        <v>241</v>
      </c>
      <c r="E164" s="7" t="s">
        <v>21</v>
      </c>
      <c r="F164" s="7" t="s">
        <v>242</v>
      </c>
      <c r="G164" s="7" t="s">
        <v>23</v>
      </c>
      <c r="H164" s="7" t="s">
        <v>247</v>
      </c>
      <c r="I164" s="6" t="s">
        <v>76</v>
      </c>
      <c r="J164" s="7" t="s">
        <v>244</v>
      </c>
      <c r="K164" s="6" t="s">
        <v>245</v>
      </c>
      <c r="L164" s="9">
        <v>1378646.4630952112</v>
      </c>
      <c r="M164" s="10">
        <v>0</v>
      </c>
      <c r="N164" s="6" t="s">
        <v>279</v>
      </c>
      <c r="O164" s="11">
        <v>0</v>
      </c>
      <c r="P164" s="11"/>
      <c r="Q164" s="11"/>
      <c r="R164" s="11"/>
      <c r="S164" s="11">
        <v>1</v>
      </c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>
        <v>0</v>
      </c>
      <c r="AJ164" s="11"/>
      <c r="AK164" s="11"/>
      <c r="AL164" s="11"/>
      <c r="AM164" s="10">
        <v>1</v>
      </c>
      <c r="AN164" s="10">
        <v>0</v>
      </c>
      <c r="AO164" s="11">
        <v>1</v>
      </c>
      <c r="AP164" s="11">
        <v>1</v>
      </c>
      <c r="AQ164" s="11">
        <v>0</v>
      </c>
      <c r="AR164" s="10">
        <v>0</v>
      </c>
      <c r="AS164" s="10">
        <v>0</v>
      </c>
      <c r="AT164" s="10">
        <v>0</v>
      </c>
      <c r="AU164" s="10">
        <v>0</v>
      </c>
      <c r="AV164" s="10">
        <v>1364481.2713743015</v>
      </c>
      <c r="AW164" s="10">
        <v>0</v>
      </c>
      <c r="AX164" s="10">
        <v>0</v>
      </c>
      <c r="AY164" s="10">
        <v>0</v>
      </c>
      <c r="AZ164" s="10">
        <v>0</v>
      </c>
      <c r="BA164" s="10">
        <v>0</v>
      </c>
      <c r="BB164" s="10">
        <v>0</v>
      </c>
      <c r="BC164" s="10">
        <v>0</v>
      </c>
      <c r="BD164" s="10">
        <v>0</v>
      </c>
      <c r="BE164" s="10">
        <v>0</v>
      </c>
      <c r="BF164" s="10">
        <v>0</v>
      </c>
      <c r="BG164" s="10">
        <v>0</v>
      </c>
      <c r="BH164" s="10">
        <v>0</v>
      </c>
      <c r="BI164" s="10">
        <v>0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0</v>
      </c>
      <c r="BP164" s="12">
        <v>1364481.2713743015</v>
      </c>
      <c r="BQ164" s="12">
        <v>0</v>
      </c>
      <c r="BR164" s="12">
        <v>1364481.2713743015</v>
      </c>
      <c r="BS164" s="12">
        <v>1364481.2713743015</v>
      </c>
      <c r="BT164" s="12">
        <v>0</v>
      </c>
      <c r="BU164" s="12">
        <f t="shared" si="3"/>
        <v>4093443.8141229046</v>
      </c>
    </row>
    <row r="165" spans="1:73" x14ac:dyDescent="0.25">
      <c r="A165" s="6" t="s">
        <v>28</v>
      </c>
      <c r="B165" s="6" t="s">
        <v>18</v>
      </c>
      <c r="C165" s="18" t="s">
        <v>240</v>
      </c>
      <c r="D165" s="7" t="s">
        <v>241</v>
      </c>
      <c r="E165" s="7" t="s">
        <v>21</v>
      </c>
      <c r="F165" s="7" t="s">
        <v>242</v>
      </c>
      <c r="G165" s="7" t="s">
        <v>23</v>
      </c>
      <c r="H165" s="7" t="s">
        <v>247</v>
      </c>
      <c r="I165" s="6" t="s">
        <v>252</v>
      </c>
      <c r="J165" s="7" t="s">
        <v>244</v>
      </c>
      <c r="K165" s="6" t="s">
        <v>280</v>
      </c>
      <c r="L165" s="9">
        <v>3300</v>
      </c>
      <c r="M165" s="10">
        <v>3630.0000000000005</v>
      </c>
      <c r="N165" s="6" t="s">
        <v>281</v>
      </c>
      <c r="O165" s="11">
        <v>0</v>
      </c>
      <c r="P165" s="11"/>
      <c r="Q165" s="11"/>
      <c r="R165" s="11"/>
      <c r="S165" s="11"/>
      <c r="T165" s="11"/>
      <c r="U165" s="11"/>
      <c r="V165" s="11"/>
      <c r="W165" s="11">
        <v>8</v>
      </c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>
        <v>8</v>
      </c>
      <c r="AJ165" s="11"/>
      <c r="AK165" s="11"/>
      <c r="AL165" s="11"/>
      <c r="AM165" s="10">
        <v>8</v>
      </c>
      <c r="AN165" s="10">
        <v>8</v>
      </c>
      <c r="AO165" s="11">
        <v>7</v>
      </c>
      <c r="AP165" s="11">
        <v>7</v>
      </c>
      <c r="AQ165" s="11">
        <v>7</v>
      </c>
      <c r="AR165" s="10">
        <v>0</v>
      </c>
      <c r="AS165" s="10">
        <v>0</v>
      </c>
      <c r="AT165" s="10">
        <v>0</v>
      </c>
      <c r="AU165" s="10">
        <v>0</v>
      </c>
      <c r="AV165" s="10">
        <v>0</v>
      </c>
      <c r="AW165" s="10">
        <v>0</v>
      </c>
      <c r="AX165" s="10">
        <v>0</v>
      </c>
      <c r="AY165" s="10">
        <v>0</v>
      </c>
      <c r="AZ165" s="10">
        <v>26128.747672849764</v>
      </c>
      <c r="BA165" s="10">
        <v>0</v>
      </c>
      <c r="BB165" s="10">
        <v>0</v>
      </c>
      <c r="BC165" s="10">
        <v>0</v>
      </c>
      <c r="BD165" s="10">
        <v>0</v>
      </c>
      <c r="BE165" s="10">
        <v>0</v>
      </c>
      <c r="BF165" s="10">
        <v>0</v>
      </c>
      <c r="BG165" s="10">
        <v>0</v>
      </c>
      <c r="BH165" s="10">
        <v>0</v>
      </c>
      <c r="BI165" s="10">
        <v>0</v>
      </c>
      <c r="BJ165" s="10">
        <v>0</v>
      </c>
      <c r="BK165" s="10">
        <v>0</v>
      </c>
      <c r="BL165" s="10">
        <v>26128.747672849764</v>
      </c>
      <c r="BM165" s="10">
        <v>0</v>
      </c>
      <c r="BN165" s="10">
        <v>0</v>
      </c>
      <c r="BO165" s="10">
        <v>0</v>
      </c>
      <c r="BP165" s="12">
        <v>26128.747672849764</v>
      </c>
      <c r="BQ165" s="12">
        <v>26128.747672849764</v>
      </c>
      <c r="BR165" s="12">
        <v>22862.654213743543</v>
      </c>
      <c r="BS165" s="12">
        <v>22862.654213743543</v>
      </c>
      <c r="BT165" s="12">
        <v>22862.654213743543</v>
      </c>
      <c r="BU165" s="12">
        <f t="shared" si="3"/>
        <v>120845.45798693017</v>
      </c>
    </row>
    <row r="166" spans="1:73" x14ac:dyDescent="0.25">
      <c r="A166" s="6" t="s">
        <v>30</v>
      </c>
      <c r="B166" s="6" t="s">
        <v>18</v>
      </c>
      <c r="C166" s="18" t="s">
        <v>240</v>
      </c>
      <c r="D166" s="7" t="s">
        <v>241</v>
      </c>
      <c r="E166" s="7" t="s">
        <v>21</v>
      </c>
      <c r="F166" s="7" t="s">
        <v>242</v>
      </c>
      <c r="G166" s="7" t="s">
        <v>23</v>
      </c>
      <c r="H166" s="7" t="s">
        <v>249</v>
      </c>
      <c r="I166" s="6" t="s">
        <v>252</v>
      </c>
      <c r="J166" s="7" t="s">
        <v>244</v>
      </c>
      <c r="K166" s="6" t="s">
        <v>280</v>
      </c>
      <c r="L166" s="9">
        <v>3300</v>
      </c>
      <c r="M166" s="10">
        <v>3630.0000000000005</v>
      </c>
      <c r="N166" s="6" t="s">
        <v>281</v>
      </c>
      <c r="O166" s="11">
        <v>0</v>
      </c>
      <c r="P166" s="11"/>
      <c r="Q166" s="11"/>
      <c r="R166" s="11"/>
      <c r="S166" s="11"/>
      <c r="T166" s="11"/>
      <c r="U166" s="11"/>
      <c r="V166" s="11"/>
      <c r="W166" s="11">
        <v>5</v>
      </c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>
        <v>5</v>
      </c>
      <c r="AJ166" s="11"/>
      <c r="AK166" s="11"/>
      <c r="AL166" s="11"/>
      <c r="AM166" s="10">
        <v>5</v>
      </c>
      <c r="AN166" s="10">
        <v>5</v>
      </c>
      <c r="AO166" s="11">
        <v>5</v>
      </c>
      <c r="AP166" s="11">
        <v>5</v>
      </c>
      <c r="AQ166" s="11">
        <v>5</v>
      </c>
      <c r="AR166" s="10">
        <v>0</v>
      </c>
      <c r="AS166" s="10">
        <v>0</v>
      </c>
      <c r="AT166" s="10">
        <v>0</v>
      </c>
      <c r="AU166" s="10">
        <v>0</v>
      </c>
      <c r="AV166" s="10">
        <v>0</v>
      </c>
      <c r="AW166" s="10">
        <v>0</v>
      </c>
      <c r="AX166" s="10">
        <v>0</v>
      </c>
      <c r="AY166" s="10">
        <v>0</v>
      </c>
      <c r="AZ166" s="10">
        <v>16330.467295531103</v>
      </c>
      <c r="BA166" s="10">
        <v>0</v>
      </c>
      <c r="BB166" s="10">
        <v>0</v>
      </c>
      <c r="BC166" s="10">
        <v>0</v>
      </c>
      <c r="BD166" s="10">
        <v>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16330.467295531103</v>
      </c>
      <c r="BM166" s="10">
        <v>0</v>
      </c>
      <c r="BN166" s="10">
        <v>0</v>
      </c>
      <c r="BO166" s="10">
        <v>0</v>
      </c>
      <c r="BP166" s="12">
        <v>16330.467295531103</v>
      </c>
      <c r="BQ166" s="12">
        <v>16330.467295531103</v>
      </c>
      <c r="BR166" s="12">
        <v>16330.467295531103</v>
      </c>
      <c r="BS166" s="12">
        <v>16330.467295531103</v>
      </c>
      <c r="BT166" s="12">
        <v>16330.467295531103</v>
      </c>
      <c r="BU166" s="12">
        <f t="shared" si="3"/>
        <v>81652.33647765551</v>
      </c>
    </row>
    <row r="167" spans="1:73" x14ac:dyDescent="0.25">
      <c r="A167" s="6" t="s">
        <v>32</v>
      </c>
      <c r="B167" s="6" t="s">
        <v>18</v>
      </c>
      <c r="C167" s="18" t="s">
        <v>240</v>
      </c>
      <c r="D167" s="7" t="s">
        <v>241</v>
      </c>
      <c r="E167" s="7" t="s">
        <v>21</v>
      </c>
      <c r="F167" s="7" t="s">
        <v>242</v>
      </c>
      <c r="G167" s="7" t="s">
        <v>23</v>
      </c>
      <c r="H167" s="7" t="s">
        <v>250</v>
      </c>
      <c r="I167" s="6" t="s">
        <v>252</v>
      </c>
      <c r="J167" s="7" t="s">
        <v>244</v>
      </c>
      <c r="K167" s="6" t="s">
        <v>280</v>
      </c>
      <c r="L167" s="9">
        <v>3300</v>
      </c>
      <c r="M167" s="10">
        <v>3630.0000000000005</v>
      </c>
      <c r="N167" s="6" t="s">
        <v>281</v>
      </c>
      <c r="O167" s="11">
        <v>0</v>
      </c>
      <c r="P167" s="11"/>
      <c r="Q167" s="11"/>
      <c r="R167" s="11"/>
      <c r="S167" s="11"/>
      <c r="T167" s="11"/>
      <c r="U167" s="11"/>
      <c r="V167" s="11"/>
      <c r="W167" s="11">
        <v>2</v>
      </c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>
        <v>2</v>
      </c>
      <c r="AJ167" s="11"/>
      <c r="AK167" s="11"/>
      <c r="AL167" s="11"/>
      <c r="AM167" s="10">
        <v>2</v>
      </c>
      <c r="AN167" s="10">
        <v>2</v>
      </c>
      <c r="AO167" s="11">
        <v>1</v>
      </c>
      <c r="AP167" s="11">
        <v>1</v>
      </c>
      <c r="AQ167" s="11">
        <v>1</v>
      </c>
      <c r="AR167" s="10">
        <v>0</v>
      </c>
      <c r="AS167" s="10">
        <v>0</v>
      </c>
      <c r="AT167" s="10">
        <v>0</v>
      </c>
      <c r="AU167" s="10">
        <v>0</v>
      </c>
      <c r="AV167" s="10">
        <v>0</v>
      </c>
      <c r="AW167" s="10">
        <v>0</v>
      </c>
      <c r="AX167" s="10">
        <v>0</v>
      </c>
      <c r="AY167" s="10">
        <v>0</v>
      </c>
      <c r="AZ167" s="10">
        <v>6532.186918212441</v>
      </c>
      <c r="BA167" s="10">
        <v>0</v>
      </c>
      <c r="BB167" s="10">
        <v>0</v>
      </c>
      <c r="BC167" s="10">
        <v>0</v>
      </c>
      <c r="BD167" s="10">
        <v>0</v>
      </c>
      <c r="BE167" s="10">
        <v>0</v>
      </c>
      <c r="BF167" s="10">
        <v>0</v>
      </c>
      <c r="BG167" s="10">
        <v>0</v>
      </c>
      <c r="BH167" s="10">
        <v>0</v>
      </c>
      <c r="BI167" s="10">
        <v>0</v>
      </c>
      <c r="BJ167" s="10">
        <v>0</v>
      </c>
      <c r="BK167" s="10">
        <v>0</v>
      </c>
      <c r="BL167" s="10">
        <v>6532.186918212441</v>
      </c>
      <c r="BM167" s="10">
        <v>0</v>
      </c>
      <c r="BN167" s="10">
        <v>0</v>
      </c>
      <c r="BO167" s="10">
        <v>0</v>
      </c>
      <c r="BP167" s="12">
        <v>6532.186918212441</v>
      </c>
      <c r="BQ167" s="12">
        <v>6532.186918212441</v>
      </c>
      <c r="BR167" s="12">
        <v>3266.0934591062205</v>
      </c>
      <c r="BS167" s="12">
        <v>3266.0934591062205</v>
      </c>
      <c r="BT167" s="12">
        <v>3266.0934591062205</v>
      </c>
      <c r="BU167" s="12">
        <f t="shared" si="3"/>
        <v>22862.654213743546</v>
      </c>
    </row>
    <row r="168" spans="1:73" x14ac:dyDescent="0.25">
      <c r="A168" s="6" t="s">
        <v>34</v>
      </c>
      <c r="B168" s="6" t="s">
        <v>18</v>
      </c>
      <c r="C168" s="18" t="s">
        <v>240</v>
      </c>
      <c r="D168" s="7" t="s">
        <v>241</v>
      </c>
      <c r="E168" s="7" t="s">
        <v>21</v>
      </c>
      <c r="F168" s="7" t="s">
        <v>242</v>
      </c>
      <c r="G168" s="7" t="s">
        <v>23</v>
      </c>
      <c r="H168" s="7" t="s">
        <v>251</v>
      </c>
      <c r="I168" s="6" t="s">
        <v>252</v>
      </c>
      <c r="J168" s="7" t="s">
        <v>244</v>
      </c>
      <c r="K168" s="6" t="s">
        <v>280</v>
      </c>
      <c r="L168" s="9">
        <v>3300</v>
      </c>
      <c r="M168" s="10">
        <v>3630.0000000000005</v>
      </c>
      <c r="N168" s="6" t="s">
        <v>281</v>
      </c>
      <c r="O168" s="11">
        <v>0</v>
      </c>
      <c r="P168" s="11"/>
      <c r="Q168" s="11"/>
      <c r="R168" s="11"/>
      <c r="S168" s="11"/>
      <c r="T168" s="11"/>
      <c r="U168" s="11"/>
      <c r="V168" s="11"/>
      <c r="W168" s="11">
        <v>7</v>
      </c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>
        <v>7</v>
      </c>
      <c r="AJ168" s="11"/>
      <c r="AK168" s="11"/>
      <c r="AL168" s="11"/>
      <c r="AM168" s="10">
        <v>7</v>
      </c>
      <c r="AN168" s="10">
        <v>7</v>
      </c>
      <c r="AO168" s="11">
        <v>7</v>
      </c>
      <c r="AP168" s="11">
        <v>7</v>
      </c>
      <c r="AQ168" s="11">
        <v>7</v>
      </c>
      <c r="AR168" s="10">
        <v>0</v>
      </c>
      <c r="AS168" s="10">
        <v>0</v>
      </c>
      <c r="AT168" s="10">
        <v>0</v>
      </c>
      <c r="AU168" s="10">
        <v>0</v>
      </c>
      <c r="AV168" s="10">
        <v>0</v>
      </c>
      <c r="AW168" s="10">
        <v>0</v>
      </c>
      <c r="AX168" s="10">
        <v>0</v>
      </c>
      <c r="AY168" s="10">
        <v>0</v>
      </c>
      <c r="AZ168" s="10">
        <v>22862.654213743543</v>
      </c>
      <c r="BA168" s="10">
        <v>0</v>
      </c>
      <c r="BB168" s="10">
        <v>0</v>
      </c>
      <c r="BC168" s="10">
        <v>0</v>
      </c>
      <c r="BD168" s="10">
        <v>0</v>
      </c>
      <c r="BE168" s="10">
        <v>0</v>
      </c>
      <c r="BF168" s="10">
        <v>0</v>
      </c>
      <c r="BG168" s="10">
        <v>0</v>
      </c>
      <c r="BH168" s="10">
        <v>0</v>
      </c>
      <c r="BI168" s="10">
        <v>0</v>
      </c>
      <c r="BJ168" s="10">
        <v>0</v>
      </c>
      <c r="BK168" s="10">
        <v>0</v>
      </c>
      <c r="BL168" s="10">
        <v>22862.654213743543</v>
      </c>
      <c r="BM168" s="10">
        <v>0</v>
      </c>
      <c r="BN168" s="10">
        <v>0</v>
      </c>
      <c r="BO168" s="10">
        <v>0</v>
      </c>
      <c r="BP168" s="12">
        <v>22862.654213743543</v>
      </c>
      <c r="BQ168" s="12">
        <v>22862.654213743543</v>
      </c>
      <c r="BR168" s="12">
        <v>22862.654213743543</v>
      </c>
      <c r="BS168" s="12">
        <v>22862.654213743543</v>
      </c>
      <c r="BT168" s="12">
        <v>22862.654213743543</v>
      </c>
      <c r="BU168" s="12">
        <f t="shared" si="3"/>
        <v>114313.27106871772</v>
      </c>
    </row>
    <row r="169" spans="1:73" x14ac:dyDescent="0.25">
      <c r="A169" s="6" t="s">
        <v>38</v>
      </c>
      <c r="B169" s="6" t="s">
        <v>18</v>
      </c>
      <c r="C169" s="18" t="s">
        <v>240</v>
      </c>
      <c r="D169" s="7" t="s">
        <v>241</v>
      </c>
      <c r="E169" s="7" t="s">
        <v>21</v>
      </c>
      <c r="F169" s="7" t="s">
        <v>242</v>
      </c>
      <c r="G169" s="7" t="s">
        <v>23</v>
      </c>
      <c r="H169" s="7" t="s">
        <v>243</v>
      </c>
      <c r="I169" s="6" t="s">
        <v>252</v>
      </c>
      <c r="J169" s="7" t="s">
        <v>244</v>
      </c>
      <c r="K169" s="6" t="s">
        <v>280</v>
      </c>
      <c r="L169" s="9"/>
      <c r="M169" s="10">
        <v>3630.0000000000005</v>
      </c>
      <c r="N169" s="6" t="s">
        <v>281</v>
      </c>
      <c r="O169" s="11">
        <v>0</v>
      </c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0">
        <v>0</v>
      </c>
      <c r="AN169" s="10">
        <v>0</v>
      </c>
      <c r="AO169" s="11">
        <v>0</v>
      </c>
      <c r="AP169" s="11">
        <v>0</v>
      </c>
      <c r="AQ169" s="11">
        <v>0</v>
      </c>
      <c r="AR169" s="10">
        <v>0</v>
      </c>
      <c r="AS169" s="10">
        <v>0</v>
      </c>
      <c r="AT169" s="10">
        <v>0</v>
      </c>
      <c r="AU169" s="10">
        <v>0</v>
      </c>
      <c r="AV169" s="10">
        <v>0</v>
      </c>
      <c r="AW169" s="10">
        <v>0</v>
      </c>
      <c r="AX169" s="10">
        <v>0</v>
      </c>
      <c r="AY169" s="10">
        <v>0</v>
      </c>
      <c r="AZ169" s="10">
        <v>0</v>
      </c>
      <c r="BA169" s="10">
        <v>0</v>
      </c>
      <c r="BB169" s="10">
        <v>0</v>
      </c>
      <c r="BC169" s="10">
        <v>0</v>
      </c>
      <c r="BD169" s="10">
        <v>0</v>
      </c>
      <c r="BE169" s="10">
        <v>0</v>
      </c>
      <c r="BF169" s="10">
        <v>0</v>
      </c>
      <c r="BG169" s="10">
        <v>0</v>
      </c>
      <c r="BH169" s="10">
        <v>0</v>
      </c>
      <c r="BI169" s="10">
        <v>0</v>
      </c>
      <c r="BJ169" s="10">
        <v>0</v>
      </c>
      <c r="BK169" s="10">
        <v>0</v>
      </c>
      <c r="BL169" s="10">
        <v>0</v>
      </c>
      <c r="BM169" s="10">
        <v>0</v>
      </c>
      <c r="BN169" s="10">
        <v>0</v>
      </c>
      <c r="BO169" s="10">
        <v>0</v>
      </c>
      <c r="BP169" s="12">
        <v>0</v>
      </c>
      <c r="BQ169" s="12">
        <v>0</v>
      </c>
      <c r="BR169" s="12">
        <v>0</v>
      </c>
      <c r="BS169" s="12">
        <v>0</v>
      </c>
      <c r="BT169" s="12">
        <v>0</v>
      </c>
      <c r="BU169" s="12">
        <f t="shared" si="3"/>
        <v>0</v>
      </c>
    </row>
    <row r="170" spans="1:73" x14ac:dyDescent="0.25">
      <c r="A170" s="6" t="s">
        <v>40</v>
      </c>
      <c r="B170" s="6" t="s">
        <v>18</v>
      </c>
      <c r="C170" s="18" t="s">
        <v>240</v>
      </c>
      <c r="D170" s="7" t="s">
        <v>241</v>
      </c>
      <c r="E170" s="7" t="s">
        <v>21</v>
      </c>
      <c r="F170" s="7" t="s">
        <v>242</v>
      </c>
      <c r="G170" s="7" t="s">
        <v>23</v>
      </c>
      <c r="H170" s="7" t="s">
        <v>256</v>
      </c>
      <c r="I170" s="6" t="s">
        <v>252</v>
      </c>
      <c r="J170" s="7" t="s">
        <v>244</v>
      </c>
      <c r="K170" s="6" t="s">
        <v>280</v>
      </c>
      <c r="L170" s="9">
        <v>3300</v>
      </c>
      <c r="M170" s="10">
        <v>3630.0000000000005</v>
      </c>
      <c r="N170" s="6" t="s">
        <v>281</v>
      </c>
      <c r="O170" s="11">
        <v>0</v>
      </c>
      <c r="P170" s="11"/>
      <c r="Q170" s="11"/>
      <c r="R170" s="11"/>
      <c r="S170" s="11"/>
      <c r="T170" s="11"/>
      <c r="U170" s="11"/>
      <c r="V170" s="11"/>
      <c r="W170" s="11">
        <v>8</v>
      </c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>
        <v>8</v>
      </c>
      <c r="AJ170" s="11"/>
      <c r="AK170" s="11"/>
      <c r="AL170" s="11"/>
      <c r="AM170" s="10">
        <v>8</v>
      </c>
      <c r="AN170" s="10">
        <v>8</v>
      </c>
      <c r="AO170" s="11">
        <v>9</v>
      </c>
      <c r="AP170" s="11">
        <v>10</v>
      </c>
      <c r="AQ170" s="11">
        <v>10</v>
      </c>
      <c r="AR170" s="10">
        <v>0</v>
      </c>
      <c r="AS170" s="10">
        <v>0</v>
      </c>
      <c r="AT170" s="10">
        <v>0</v>
      </c>
      <c r="AU170" s="10">
        <v>0</v>
      </c>
      <c r="AV170" s="10">
        <v>0</v>
      </c>
      <c r="AW170" s="10">
        <v>0</v>
      </c>
      <c r="AX170" s="10">
        <v>0</v>
      </c>
      <c r="AY170" s="10">
        <v>0</v>
      </c>
      <c r="AZ170" s="10">
        <v>26128.747672849764</v>
      </c>
      <c r="BA170" s="10">
        <v>0</v>
      </c>
      <c r="BB170" s="10">
        <v>0</v>
      </c>
      <c r="BC170" s="10">
        <v>0</v>
      </c>
      <c r="BD170" s="10">
        <v>0</v>
      </c>
      <c r="BE170" s="10">
        <v>0</v>
      </c>
      <c r="BF170" s="10">
        <v>0</v>
      </c>
      <c r="BG170" s="10">
        <v>0</v>
      </c>
      <c r="BH170" s="10">
        <v>0</v>
      </c>
      <c r="BI170" s="10">
        <v>0</v>
      </c>
      <c r="BJ170" s="10">
        <v>0</v>
      </c>
      <c r="BK170" s="10">
        <v>0</v>
      </c>
      <c r="BL170" s="10">
        <v>26128.747672849764</v>
      </c>
      <c r="BM170" s="10">
        <v>0</v>
      </c>
      <c r="BN170" s="10">
        <v>0</v>
      </c>
      <c r="BO170" s="10">
        <v>0</v>
      </c>
      <c r="BP170" s="12">
        <v>26128.747672849764</v>
      </c>
      <c r="BQ170" s="12">
        <v>26128.747672849764</v>
      </c>
      <c r="BR170" s="12">
        <v>29394.841131955985</v>
      </c>
      <c r="BS170" s="12">
        <v>32660.934591062207</v>
      </c>
      <c r="BT170" s="12">
        <v>32660.934591062207</v>
      </c>
      <c r="BU170" s="12">
        <f t="shared" si="3"/>
        <v>146974.20565977992</v>
      </c>
    </row>
    <row r="171" spans="1:73" x14ac:dyDescent="0.25">
      <c r="A171" s="6" t="s">
        <v>58</v>
      </c>
      <c r="B171" s="6" t="s">
        <v>18</v>
      </c>
      <c r="C171" s="18" t="s">
        <v>240</v>
      </c>
      <c r="D171" s="7" t="s">
        <v>241</v>
      </c>
      <c r="E171" s="7" t="s">
        <v>21</v>
      </c>
      <c r="F171" s="7" t="s">
        <v>242</v>
      </c>
      <c r="G171" s="7" t="s">
        <v>23</v>
      </c>
      <c r="H171" s="7" t="s">
        <v>274</v>
      </c>
      <c r="I171" s="6" t="s">
        <v>252</v>
      </c>
      <c r="J171" s="7" t="s">
        <v>244</v>
      </c>
      <c r="K171" s="6" t="s">
        <v>280</v>
      </c>
      <c r="L171" s="9"/>
      <c r="M171" s="10">
        <v>3630.0000000000005</v>
      </c>
      <c r="N171" s="6" t="s">
        <v>281</v>
      </c>
      <c r="O171" s="11">
        <v>0</v>
      </c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0">
        <v>0</v>
      </c>
      <c r="AN171" s="10">
        <v>0</v>
      </c>
      <c r="AO171" s="11">
        <v>0</v>
      </c>
      <c r="AP171" s="11">
        <v>0</v>
      </c>
      <c r="AQ171" s="11">
        <v>0</v>
      </c>
      <c r="AR171" s="10">
        <v>0</v>
      </c>
      <c r="AS171" s="10">
        <v>0</v>
      </c>
      <c r="AT171" s="10">
        <v>0</v>
      </c>
      <c r="AU171" s="10">
        <v>0</v>
      </c>
      <c r="AV171" s="10">
        <v>0</v>
      </c>
      <c r="AW171" s="10">
        <v>0</v>
      </c>
      <c r="AX171" s="10">
        <v>0</v>
      </c>
      <c r="AY171" s="10">
        <v>0</v>
      </c>
      <c r="AZ171" s="10">
        <v>0</v>
      </c>
      <c r="BA171" s="10">
        <v>0</v>
      </c>
      <c r="BB171" s="10">
        <v>0</v>
      </c>
      <c r="BC171" s="10">
        <v>0</v>
      </c>
      <c r="BD171" s="10">
        <v>0</v>
      </c>
      <c r="BE171" s="10">
        <v>0</v>
      </c>
      <c r="BF171" s="10">
        <v>0</v>
      </c>
      <c r="BG171" s="10">
        <v>0</v>
      </c>
      <c r="BH171" s="10">
        <v>0</v>
      </c>
      <c r="BI171" s="10">
        <v>0</v>
      </c>
      <c r="BJ171" s="10">
        <v>0</v>
      </c>
      <c r="BK171" s="10">
        <v>0</v>
      </c>
      <c r="BL171" s="10">
        <v>0</v>
      </c>
      <c r="BM171" s="10">
        <v>0</v>
      </c>
      <c r="BN171" s="10">
        <v>0</v>
      </c>
      <c r="BO171" s="10">
        <v>0</v>
      </c>
      <c r="BP171" s="12">
        <v>0</v>
      </c>
      <c r="BQ171" s="12">
        <v>0</v>
      </c>
      <c r="BR171" s="12">
        <v>0</v>
      </c>
      <c r="BS171" s="12">
        <v>0</v>
      </c>
      <c r="BT171" s="12">
        <v>0</v>
      </c>
      <c r="BU171" s="12">
        <f t="shared" si="3"/>
        <v>0</v>
      </c>
    </row>
    <row r="172" spans="1:73" x14ac:dyDescent="0.25">
      <c r="A172" s="6" t="s">
        <v>42</v>
      </c>
      <c r="B172" s="6" t="s">
        <v>18</v>
      </c>
      <c r="C172" s="18" t="s">
        <v>240</v>
      </c>
      <c r="D172" s="7" t="s">
        <v>241</v>
      </c>
      <c r="E172" s="7" t="s">
        <v>21</v>
      </c>
      <c r="F172" s="7" t="s">
        <v>242</v>
      </c>
      <c r="G172" s="7" t="s">
        <v>23</v>
      </c>
      <c r="H172" s="7" t="s">
        <v>260</v>
      </c>
      <c r="I172" s="6" t="s">
        <v>252</v>
      </c>
      <c r="J172" s="7" t="s">
        <v>244</v>
      </c>
      <c r="K172" s="6" t="s">
        <v>280</v>
      </c>
      <c r="L172" s="9">
        <v>3300</v>
      </c>
      <c r="M172" s="10">
        <v>3630.0000000000005</v>
      </c>
      <c r="N172" s="6" t="s">
        <v>281</v>
      </c>
      <c r="O172" s="11">
        <v>0</v>
      </c>
      <c r="P172" s="11"/>
      <c r="Q172" s="11"/>
      <c r="R172" s="11"/>
      <c r="S172" s="11"/>
      <c r="T172" s="11"/>
      <c r="U172" s="11"/>
      <c r="V172" s="11"/>
      <c r="W172" s="11">
        <v>2</v>
      </c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>
        <v>2</v>
      </c>
      <c r="AJ172" s="11"/>
      <c r="AK172" s="11"/>
      <c r="AL172" s="11"/>
      <c r="AM172" s="10">
        <v>2</v>
      </c>
      <c r="AN172" s="10">
        <v>2</v>
      </c>
      <c r="AO172" s="11">
        <v>2</v>
      </c>
      <c r="AP172" s="11">
        <v>2.3810074237344159</v>
      </c>
      <c r="AQ172" s="11">
        <v>2.5235059560300726</v>
      </c>
      <c r="AR172" s="10">
        <v>0</v>
      </c>
      <c r="AS172" s="10">
        <v>0</v>
      </c>
      <c r="AT172" s="10">
        <v>0</v>
      </c>
      <c r="AU172" s="10">
        <v>0</v>
      </c>
      <c r="AV172" s="10">
        <v>0</v>
      </c>
      <c r="AW172" s="10">
        <v>0</v>
      </c>
      <c r="AX172" s="10">
        <v>0</v>
      </c>
      <c r="AY172" s="10">
        <v>0</v>
      </c>
      <c r="AZ172" s="10">
        <v>6532.186918212441</v>
      </c>
      <c r="BA172" s="10">
        <v>0</v>
      </c>
      <c r="BB172" s="10">
        <v>0</v>
      </c>
      <c r="BC172" s="10">
        <v>0</v>
      </c>
      <c r="BD172" s="10">
        <v>0</v>
      </c>
      <c r="BE172" s="10">
        <v>0</v>
      </c>
      <c r="BF172" s="10">
        <v>0</v>
      </c>
      <c r="BG172" s="10">
        <v>0</v>
      </c>
      <c r="BH172" s="10">
        <v>0</v>
      </c>
      <c r="BI172" s="10">
        <v>0</v>
      </c>
      <c r="BJ172" s="10">
        <v>0</v>
      </c>
      <c r="BK172" s="10">
        <v>0</v>
      </c>
      <c r="BL172" s="10">
        <v>6532.186918212441</v>
      </c>
      <c r="BM172" s="10">
        <v>0</v>
      </c>
      <c r="BN172" s="10">
        <v>0</v>
      </c>
      <c r="BO172" s="10">
        <v>0</v>
      </c>
      <c r="BP172" s="12">
        <v>6532.186918212441</v>
      </c>
      <c r="BQ172" s="12">
        <v>6532.186918212441</v>
      </c>
      <c r="BR172" s="12">
        <v>6532.186918212441</v>
      </c>
      <c r="BS172" s="12">
        <v>7776.5927727423295</v>
      </c>
      <c r="BT172" s="12">
        <v>8242.0062970054096</v>
      </c>
      <c r="BU172" s="12">
        <f t="shared" si="3"/>
        <v>35615.15982438506</v>
      </c>
    </row>
    <row r="173" spans="1:73" x14ac:dyDescent="0.25">
      <c r="A173" s="6" t="s">
        <v>28</v>
      </c>
      <c r="B173" s="6" t="s">
        <v>18</v>
      </c>
      <c r="C173" s="18" t="s">
        <v>240</v>
      </c>
      <c r="D173" s="7" t="s">
        <v>241</v>
      </c>
      <c r="E173" s="7" t="s">
        <v>21</v>
      </c>
      <c r="F173" s="7" t="s">
        <v>242</v>
      </c>
      <c r="G173" s="7" t="s">
        <v>23</v>
      </c>
      <c r="H173" s="7" t="s">
        <v>247</v>
      </c>
      <c r="I173" s="6" t="s">
        <v>76</v>
      </c>
      <c r="J173" s="7" t="s">
        <v>244</v>
      </c>
      <c r="K173" s="6" t="s">
        <v>282</v>
      </c>
      <c r="L173" s="9">
        <v>1868926.0964484571</v>
      </c>
      <c r="M173" s="10">
        <v>90354.013794085811</v>
      </c>
      <c r="N173" s="6" t="s">
        <v>282</v>
      </c>
      <c r="O173" s="11">
        <v>0</v>
      </c>
      <c r="P173" s="11"/>
      <c r="Q173" s="11"/>
      <c r="R173" s="11"/>
      <c r="S173" s="11"/>
      <c r="T173" s="11"/>
      <c r="U173" s="11"/>
      <c r="V173" s="11">
        <v>1</v>
      </c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>
        <v>0</v>
      </c>
      <c r="AJ173" s="11"/>
      <c r="AK173" s="11"/>
      <c r="AL173" s="11"/>
      <c r="AM173" s="10">
        <v>1</v>
      </c>
      <c r="AN173" s="10">
        <v>0</v>
      </c>
      <c r="AO173" s="11">
        <v>1</v>
      </c>
      <c r="AP173" s="11">
        <v>0</v>
      </c>
      <c r="AQ173" s="11">
        <v>1</v>
      </c>
      <c r="AR173" s="10">
        <v>0</v>
      </c>
      <c r="AS173" s="10">
        <v>0</v>
      </c>
      <c r="AT173" s="10">
        <v>0</v>
      </c>
      <c r="AU173" s="10">
        <v>0</v>
      </c>
      <c r="AV173" s="10">
        <v>0</v>
      </c>
      <c r="AW173" s="10">
        <v>0</v>
      </c>
      <c r="AX173" s="10">
        <v>0</v>
      </c>
      <c r="AY173" s="10">
        <v>1849723.4239888568</v>
      </c>
      <c r="AZ173" s="10">
        <v>0</v>
      </c>
      <c r="BA173" s="10">
        <v>0</v>
      </c>
      <c r="BB173" s="10">
        <v>0</v>
      </c>
      <c r="BC173" s="10">
        <v>0</v>
      </c>
      <c r="BD173" s="10">
        <v>0</v>
      </c>
      <c r="BE173" s="10">
        <v>0</v>
      </c>
      <c r="BF173" s="10">
        <v>0</v>
      </c>
      <c r="BG173" s="10">
        <v>0</v>
      </c>
      <c r="BH173" s="10">
        <v>0</v>
      </c>
      <c r="BI173" s="10">
        <v>0</v>
      </c>
      <c r="BJ173" s="10">
        <v>0</v>
      </c>
      <c r="BK173" s="10">
        <v>0</v>
      </c>
      <c r="BL173" s="10">
        <v>0</v>
      </c>
      <c r="BM173" s="10">
        <v>0</v>
      </c>
      <c r="BN173" s="10">
        <v>0</v>
      </c>
      <c r="BO173" s="10">
        <v>0</v>
      </c>
      <c r="BP173" s="12">
        <v>1849723.4239888568</v>
      </c>
      <c r="BQ173" s="12">
        <v>0</v>
      </c>
      <c r="BR173" s="12">
        <v>1849723.4239888568</v>
      </c>
      <c r="BS173" s="12">
        <v>0</v>
      </c>
      <c r="BT173" s="12">
        <v>1849723.4239888568</v>
      </c>
      <c r="BU173" s="12">
        <f t="shared" si="3"/>
        <v>5549170.271966571</v>
      </c>
    </row>
    <row r="174" spans="1:73" x14ac:dyDescent="0.25">
      <c r="A174" s="6" t="s">
        <v>32</v>
      </c>
      <c r="B174" s="6" t="s">
        <v>18</v>
      </c>
      <c r="C174" s="18" t="s">
        <v>240</v>
      </c>
      <c r="D174" s="7" t="s">
        <v>241</v>
      </c>
      <c r="E174" s="7" t="s">
        <v>21</v>
      </c>
      <c r="F174" s="7" t="s">
        <v>242</v>
      </c>
      <c r="G174" s="7" t="s">
        <v>23</v>
      </c>
      <c r="H174" s="7" t="s">
        <v>250</v>
      </c>
      <c r="I174" s="6" t="s">
        <v>76</v>
      </c>
      <c r="J174" s="7" t="s">
        <v>244</v>
      </c>
      <c r="K174" s="6" t="s">
        <v>282</v>
      </c>
      <c r="L174" s="9">
        <v>533978.88469955919</v>
      </c>
      <c r="M174" s="10">
        <v>90354.013794085811</v>
      </c>
      <c r="N174" s="6" t="s">
        <v>282</v>
      </c>
      <c r="O174" s="11">
        <v>0</v>
      </c>
      <c r="P174" s="11"/>
      <c r="Q174" s="11"/>
      <c r="R174" s="11"/>
      <c r="S174" s="11"/>
      <c r="T174" s="11"/>
      <c r="U174" s="11"/>
      <c r="V174" s="11">
        <v>1</v>
      </c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>
        <v>0</v>
      </c>
      <c r="AJ174" s="11"/>
      <c r="AK174" s="11"/>
      <c r="AL174" s="11"/>
      <c r="AM174" s="10">
        <v>1</v>
      </c>
      <c r="AN174" s="10">
        <v>0</v>
      </c>
      <c r="AO174" s="11">
        <v>1</v>
      </c>
      <c r="AP174" s="11">
        <v>0</v>
      </c>
      <c r="AQ174" s="11">
        <v>1</v>
      </c>
      <c r="AR174" s="10">
        <v>0</v>
      </c>
      <c r="AS174" s="10">
        <v>0</v>
      </c>
      <c r="AT174" s="10">
        <v>0</v>
      </c>
      <c r="AU174" s="10">
        <v>0</v>
      </c>
      <c r="AV174" s="10">
        <v>0</v>
      </c>
      <c r="AW174" s="10">
        <v>0</v>
      </c>
      <c r="AX174" s="10">
        <v>0</v>
      </c>
      <c r="AY174" s="10">
        <v>528492.40685395908</v>
      </c>
      <c r="AZ174" s="10">
        <v>0</v>
      </c>
      <c r="BA174" s="10">
        <v>0</v>
      </c>
      <c r="BB174" s="10">
        <v>0</v>
      </c>
      <c r="BC174" s="10">
        <v>0</v>
      </c>
      <c r="BD174" s="10">
        <v>0</v>
      </c>
      <c r="BE174" s="10">
        <v>0</v>
      </c>
      <c r="BF174" s="10">
        <v>0</v>
      </c>
      <c r="BG174" s="10">
        <v>0</v>
      </c>
      <c r="BH174" s="10">
        <v>0</v>
      </c>
      <c r="BI174" s="10">
        <v>0</v>
      </c>
      <c r="BJ174" s="10">
        <v>0</v>
      </c>
      <c r="BK174" s="10">
        <v>0</v>
      </c>
      <c r="BL174" s="10">
        <v>0</v>
      </c>
      <c r="BM174" s="10">
        <v>0</v>
      </c>
      <c r="BN174" s="10">
        <v>0</v>
      </c>
      <c r="BO174" s="10">
        <v>0</v>
      </c>
      <c r="BP174" s="12">
        <v>528492.40685395908</v>
      </c>
      <c r="BQ174" s="12">
        <v>0</v>
      </c>
      <c r="BR174" s="12">
        <v>528492.40685395908</v>
      </c>
      <c r="BS174" s="12">
        <v>0</v>
      </c>
      <c r="BT174" s="12">
        <v>528492.40685395908</v>
      </c>
      <c r="BU174" s="12">
        <f t="shared" si="3"/>
        <v>1585477.2205618774</v>
      </c>
    </row>
    <row r="175" spans="1:73" x14ac:dyDescent="0.25">
      <c r="A175" s="6" t="s">
        <v>38</v>
      </c>
      <c r="B175" s="6" t="s">
        <v>18</v>
      </c>
      <c r="C175" s="18" t="s">
        <v>240</v>
      </c>
      <c r="D175" s="7" t="s">
        <v>241</v>
      </c>
      <c r="E175" s="7" t="s">
        <v>21</v>
      </c>
      <c r="F175" s="7" t="s">
        <v>242</v>
      </c>
      <c r="G175" s="7" t="s">
        <v>23</v>
      </c>
      <c r="H175" s="7" t="s">
        <v>243</v>
      </c>
      <c r="I175" s="6" t="s">
        <v>76</v>
      </c>
      <c r="J175" s="7" t="s">
        <v>244</v>
      </c>
      <c r="K175" s="6" t="s">
        <v>282</v>
      </c>
      <c r="L175" s="9">
        <v>800968.32704933884</v>
      </c>
      <c r="M175" s="10">
        <v>90354.013794085811</v>
      </c>
      <c r="N175" s="6" t="s">
        <v>282</v>
      </c>
      <c r="O175" s="11">
        <v>0</v>
      </c>
      <c r="P175" s="11"/>
      <c r="Q175" s="11"/>
      <c r="R175" s="11"/>
      <c r="S175" s="11"/>
      <c r="T175" s="11"/>
      <c r="U175" s="11"/>
      <c r="V175" s="11">
        <v>1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>
        <v>0</v>
      </c>
      <c r="AJ175" s="11"/>
      <c r="AK175" s="11"/>
      <c r="AL175" s="11"/>
      <c r="AM175" s="10">
        <v>1</v>
      </c>
      <c r="AN175" s="10">
        <v>0</v>
      </c>
      <c r="AO175" s="11">
        <v>1</v>
      </c>
      <c r="AP175" s="11">
        <v>0</v>
      </c>
      <c r="AQ175" s="11">
        <v>1</v>
      </c>
      <c r="AR175" s="10">
        <v>0</v>
      </c>
      <c r="AS175" s="10">
        <v>0</v>
      </c>
      <c r="AT175" s="10">
        <v>0</v>
      </c>
      <c r="AU175" s="10">
        <v>0</v>
      </c>
      <c r="AV175" s="10">
        <v>0</v>
      </c>
      <c r="AW175" s="10">
        <v>0</v>
      </c>
      <c r="AX175" s="10">
        <v>0</v>
      </c>
      <c r="AY175" s="10">
        <v>792738.61028093868</v>
      </c>
      <c r="AZ175" s="10">
        <v>0</v>
      </c>
      <c r="BA175" s="10">
        <v>0</v>
      </c>
      <c r="BB175" s="10">
        <v>0</v>
      </c>
      <c r="BC175" s="10">
        <v>0</v>
      </c>
      <c r="BD175" s="10">
        <v>0</v>
      </c>
      <c r="BE175" s="10">
        <v>0</v>
      </c>
      <c r="BF175" s="10">
        <v>0</v>
      </c>
      <c r="BG175" s="10">
        <v>0</v>
      </c>
      <c r="BH175" s="10">
        <v>0</v>
      </c>
      <c r="BI175" s="10">
        <v>0</v>
      </c>
      <c r="BJ175" s="10">
        <v>0</v>
      </c>
      <c r="BK175" s="10">
        <v>0</v>
      </c>
      <c r="BL175" s="10">
        <v>0</v>
      </c>
      <c r="BM175" s="10">
        <v>0</v>
      </c>
      <c r="BN175" s="10">
        <v>0</v>
      </c>
      <c r="BO175" s="10">
        <v>0</v>
      </c>
      <c r="BP175" s="12">
        <v>792738.61028093868</v>
      </c>
      <c r="BQ175" s="12">
        <v>0</v>
      </c>
      <c r="BR175" s="12">
        <v>792738.61028093868</v>
      </c>
      <c r="BS175" s="12">
        <v>0</v>
      </c>
      <c r="BT175" s="12">
        <v>792738.61028093868</v>
      </c>
      <c r="BU175" s="12">
        <f t="shared" si="3"/>
        <v>2378215.8308428163</v>
      </c>
    </row>
    <row r="176" spans="1:73" x14ac:dyDescent="0.25">
      <c r="A176" s="6" t="s">
        <v>34</v>
      </c>
      <c r="B176" s="6" t="s">
        <v>18</v>
      </c>
      <c r="C176" s="18" t="s">
        <v>240</v>
      </c>
      <c r="D176" s="7" t="s">
        <v>241</v>
      </c>
      <c r="E176" s="7" t="s">
        <v>21</v>
      </c>
      <c r="F176" s="7" t="s">
        <v>242</v>
      </c>
      <c r="G176" s="7" t="s">
        <v>23</v>
      </c>
      <c r="H176" s="7" t="s">
        <v>251</v>
      </c>
      <c r="I176" s="6" t="s">
        <v>252</v>
      </c>
      <c r="J176" s="7" t="s">
        <v>244</v>
      </c>
      <c r="K176" s="6" t="s">
        <v>283</v>
      </c>
      <c r="L176" s="9"/>
      <c r="M176" s="10">
        <v>2420</v>
      </c>
      <c r="N176" s="6" t="s">
        <v>284</v>
      </c>
      <c r="O176" s="11">
        <v>0</v>
      </c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0">
        <v>0</v>
      </c>
      <c r="AN176" s="10">
        <v>0</v>
      </c>
      <c r="AO176" s="11">
        <v>0</v>
      </c>
      <c r="AP176" s="11">
        <v>0</v>
      </c>
      <c r="AQ176" s="11">
        <v>0</v>
      </c>
      <c r="AR176" s="10">
        <v>0</v>
      </c>
      <c r="AS176" s="10">
        <v>0</v>
      </c>
      <c r="AT176" s="10">
        <v>0</v>
      </c>
      <c r="AU176" s="10">
        <v>0</v>
      </c>
      <c r="AV176" s="10">
        <v>0</v>
      </c>
      <c r="AW176" s="10">
        <v>0</v>
      </c>
      <c r="AX176" s="10">
        <v>0</v>
      </c>
      <c r="AY176" s="10">
        <v>0</v>
      </c>
      <c r="AZ176" s="10">
        <v>0</v>
      </c>
      <c r="BA176" s="10">
        <v>0</v>
      </c>
      <c r="BB176" s="10">
        <v>0</v>
      </c>
      <c r="BC176" s="10">
        <v>0</v>
      </c>
      <c r="BD176" s="10">
        <v>0</v>
      </c>
      <c r="BE176" s="10">
        <v>0</v>
      </c>
      <c r="BF176" s="10">
        <v>0</v>
      </c>
      <c r="BG176" s="10">
        <v>0</v>
      </c>
      <c r="BH176" s="10">
        <v>0</v>
      </c>
      <c r="BI176" s="10">
        <v>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0</v>
      </c>
      <c r="BP176" s="12">
        <v>0</v>
      </c>
      <c r="BQ176" s="12">
        <v>0</v>
      </c>
      <c r="BR176" s="12">
        <v>0</v>
      </c>
      <c r="BS176" s="12">
        <v>0</v>
      </c>
      <c r="BT176" s="12">
        <v>0</v>
      </c>
      <c r="BU176" s="12">
        <f t="shared" si="3"/>
        <v>0</v>
      </c>
    </row>
    <row r="177" spans="1:73" x14ac:dyDescent="0.25">
      <c r="A177" s="6" t="s">
        <v>28</v>
      </c>
      <c r="B177" s="6" t="s">
        <v>18</v>
      </c>
      <c r="C177" s="18" t="s">
        <v>240</v>
      </c>
      <c r="D177" s="7" t="s">
        <v>241</v>
      </c>
      <c r="E177" s="7" t="s">
        <v>21</v>
      </c>
      <c r="F177" s="7" t="s">
        <v>242</v>
      </c>
      <c r="G177" s="7" t="s">
        <v>23</v>
      </c>
      <c r="H177" s="7" t="s">
        <v>247</v>
      </c>
      <c r="I177" s="6" t="s">
        <v>252</v>
      </c>
      <c r="J177" s="7" t="s">
        <v>244</v>
      </c>
      <c r="K177" s="6" t="s">
        <v>285</v>
      </c>
      <c r="L177" s="9">
        <v>1400</v>
      </c>
      <c r="M177" s="10">
        <v>1210</v>
      </c>
      <c r="N177" s="6" t="s">
        <v>286</v>
      </c>
      <c r="O177" s="11">
        <v>0</v>
      </c>
      <c r="P177" s="11"/>
      <c r="Q177" s="11"/>
      <c r="R177" s="11"/>
      <c r="S177" s="11"/>
      <c r="T177" s="11"/>
      <c r="U177" s="11"/>
      <c r="V177" s="11"/>
      <c r="W177" s="11">
        <v>120</v>
      </c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>
        <v>127</v>
      </c>
      <c r="AJ177" s="11"/>
      <c r="AK177" s="11"/>
      <c r="AL177" s="11"/>
      <c r="AM177" s="10">
        <v>120</v>
      </c>
      <c r="AN177" s="10">
        <v>127</v>
      </c>
      <c r="AO177" s="11">
        <v>134.79333397247996</v>
      </c>
      <c r="AP177" s="11">
        <v>142.86044542406495</v>
      </c>
      <c r="AQ177" s="11">
        <v>151.41035736180436</v>
      </c>
      <c r="AR177" s="10">
        <v>0</v>
      </c>
      <c r="AS177" s="10">
        <v>0</v>
      </c>
      <c r="AT177" s="10">
        <v>0</v>
      </c>
      <c r="AU177" s="10">
        <v>0</v>
      </c>
      <c r="AV177" s="10">
        <v>0</v>
      </c>
      <c r="AW177" s="10">
        <v>0</v>
      </c>
      <c r="AX177" s="10">
        <v>0</v>
      </c>
      <c r="AY177" s="10">
        <v>0</v>
      </c>
      <c r="AZ177" s="10">
        <v>166273.84882722577</v>
      </c>
      <c r="BA177" s="10">
        <v>0</v>
      </c>
      <c r="BB177" s="10">
        <v>0</v>
      </c>
      <c r="BC177" s="10">
        <v>0</v>
      </c>
      <c r="BD177" s="10">
        <v>0</v>
      </c>
      <c r="BE177" s="10">
        <v>0</v>
      </c>
      <c r="BF177" s="10">
        <v>0</v>
      </c>
      <c r="BG177" s="10">
        <v>0</v>
      </c>
      <c r="BH177" s="10">
        <v>0</v>
      </c>
      <c r="BI177" s="10">
        <v>0</v>
      </c>
      <c r="BJ177" s="10">
        <v>0</v>
      </c>
      <c r="BK177" s="10">
        <v>0</v>
      </c>
      <c r="BL177" s="10">
        <v>175973.1566754806</v>
      </c>
      <c r="BM177" s="10">
        <v>0</v>
      </c>
      <c r="BN177" s="10">
        <v>0</v>
      </c>
      <c r="BO177" s="10">
        <v>0</v>
      </c>
      <c r="BP177" s="12">
        <v>166273.84882722577</v>
      </c>
      <c r="BQ177" s="12">
        <v>175973.1566754806</v>
      </c>
      <c r="BR177" s="12">
        <v>186771.72029881572</v>
      </c>
      <c r="BS177" s="12">
        <v>197949.63421525928</v>
      </c>
      <c r="BT177" s="12">
        <v>209796.52392377408</v>
      </c>
      <c r="BU177" s="12">
        <f t="shared" si="3"/>
        <v>936764.88394055539</v>
      </c>
    </row>
    <row r="178" spans="1:73" x14ac:dyDescent="0.25">
      <c r="A178" s="6" t="s">
        <v>30</v>
      </c>
      <c r="B178" s="6" t="s">
        <v>18</v>
      </c>
      <c r="C178" s="18" t="s">
        <v>240</v>
      </c>
      <c r="D178" s="7" t="s">
        <v>241</v>
      </c>
      <c r="E178" s="7" t="s">
        <v>21</v>
      </c>
      <c r="F178" s="7" t="s">
        <v>242</v>
      </c>
      <c r="G178" s="7" t="s">
        <v>23</v>
      </c>
      <c r="H178" s="7" t="s">
        <v>249</v>
      </c>
      <c r="I178" s="6" t="s">
        <v>252</v>
      </c>
      <c r="J178" s="7" t="s">
        <v>244</v>
      </c>
      <c r="K178" s="6" t="s">
        <v>285</v>
      </c>
      <c r="L178" s="9">
        <v>1400</v>
      </c>
      <c r="M178" s="10">
        <v>1210</v>
      </c>
      <c r="N178" s="6" t="s">
        <v>286</v>
      </c>
      <c r="O178" s="11">
        <v>0</v>
      </c>
      <c r="P178" s="11"/>
      <c r="Q178" s="11"/>
      <c r="R178" s="11"/>
      <c r="S178" s="11"/>
      <c r="T178" s="11"/>
      <c r="U178" s="11"/>
      <c r="V178" s="11"/>
      <c r="W178" s="11">
        <v>90</v>
      </c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>
        <v>95</v>
      </c>
      <c r="AJ178" s="11"/>
      <c r="AK178" s="11"/>
      <c r="AL178" s="11"/>
      <c r="AM178" s="10">
        <v>90</v>
      </c>
      <c r="AN178" s="10">
        <v>95</v>
      </c>
      <c r="AO178" s="11">
        <v>101.09500047935998</v>
      </c>
      <c r="AP178" s="11">
        <v>107.14533406804871</v>
      </c>
      <c r="AQ178" s="11">
        <v>113.55776802135328</v>
      </c>
      <c r="AR178" s="10">
        <v>0</v>
      </c>
      <c r="AS178" s="10">
        <v>0</v>
      </c>
      <c r="AT178" s="10">
        <v>0</v>
      </c>
      <c r="AU178" s="10">
        <v>0</v>
      </c>
      <c r="AV178" s="10">
        <v>0</v>
      </c>
      <c r="AW178" s="10">
        <v>0</v>
      </c>
      <c r="AX178" s="10">
        <v>0</v>
      </c>
      <c r="AY178" s="10">
        <v>0</v>
      </c>
      <c r="AZ178" s="10">
        <v>124705.38662041933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10">
        <v>0</v>
      </c>
      <c r="BG178" s="10">
        <v>0</v>
      </c>
      <c r="BH178" s="10">
        <v>0</v>
      </c>
      <c r="BI178" s="10">
        <v>0</v>
      </c>
      <c r="BJ178" s="10">
        <v>0</v>
      </c>
      <c r="BK178" s="10">
        <v>0</v>
      </c>
      <c r="BL178" s="10">
        <v>131633.46365488708</v>
      </c>
      <c r="BM178" s="10">
        <v>0</v>
      </c>
      <c r="BN178" s="10">
        <v>0</v>
      </c>
      <c r="BO178" s="10">
        <v>0</v>
      </c>
      <c r="BP178" s="12">
        <v>124705.38662041933</v>
      </c>
      <c r="BQ178" s="12">
        <v>131633.46365488708</v>
      </c>
      <c r="BR178" s="12">
        <v>140078.79022411181</v>
      </c>
      <c r="BS178" s="12">
        <v>148462.22566144445</v>
      </c>
      <c r="BT178" s="12">
        <v>157347.39294283057</v>
      </c>
      <c r="BU178" s="12">
        <f t="shared" si="3"/>
        <v>702227.2591036933</v>
      </c>
    </row>
    <row r="179" spans="1:73" x14ac:dyDescent="0.25">
      <c r="A179" s="6" t="s">
        <v>32</v>
      </c>
      <c r="B179" s="6" t="s">
        <v>18</v>
      </c>
      <c r="C179" s="18" t="s">
        <v>240</v>
      </c>
      <c r="D179" s="7" t="s">
        <v>241</v>
      </c>
      <c r="E179" s="7" t="s">
        <v>21</v>
      </c>
      <c r="F179" s="7" t="s">
        <v>242</v>
      </c>
      <c r="G179" s="7" t="s">
        <v>23</v>
      </c>
      <c r="H179" s="7" t="s">
        <v>250</v>
      </c>
      <c r="I179" s="6" t="s">
        <v>252</v>
      </c>
      <c r="J179" s="7" t="s">
        <v>244</v>
      </c>
      <c r="K179" s="6" t="s">
        <v>285</v>
      </c>
      <c r="L179" s="9">
        <v>1400</v>
      </c>
      <c r="M179" s="10">
        <v>1210</v>
      </c>
      <c r="N179" s="6" t="s">
        <v>286</v>
      </c>
      <c r="O179" s="11">
        <v>0</v>
      </c>
      <c r="P179" s="11"/>
      <c r="Q179" s="11"/>
      <c r="R179" s="11"/>
      <c r="S179" s="11"/>
      <c r="T179" s="11"/>
      <c r="U179" s="11"/>
      <c r="V179" s="11"/>
      <c r="W179" s="11">
        <v>40</v>
      </c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>
        <v>42</v>
      </c>
      <c r="AJ179" s="11"/>
      <c r="AK179" s="11"/>
      <c r="AL179" s="11"/>
      <c r="AM179" s="10">
        <v>40</v>
      </c>
      <c r="AN179" s="10">
        <v>42</v>
      </c>
      <c r="AO179" s="11">
        <v>44.931111324159993</v>
      </c>
      <c r="AP179" s="11">
        <v>47.620148474688321</v>
      </c>
      <c r="AQ179" s="11">
        <v>50.47011912060146</v>
      </c>
      <c r="AR179" s="10">
        <v>0</v>
      </c>
      <c r="AS179" s="10">
        <v>0</v>
      </c>
      <c r="AT179" s="10">
        <v>0</v>
      </c>
      <c r="AU179" s="10">
        <v>0</v>
      </c>
      <c r="AV179" s="10">
        <v>0</v>
      </c>
      <c r="AW179" s="10">
        <v>0</v>
      </c>
      <c r="AX179" s="10">
        <v>0</v>
      </c>
      <c r="AY179" s="10">
        <v>0</v>
      </c>
      <c r="AZ179" s="10">
        <v>55424.616275741922</v>
      </c>
      <c r="BA179" s="10">
        <v>0</v>
      </c>
      <c r="BB179" s="10">
        <v>0</v>
      </c>
      <c r="BC179" s="10">
        <v>0</v>
      </c>
      <c r="BD179" s="10">
        <v>0</v>
      </c>
      <c r="BE179" s="10">
        <v>0</v>
      </c>
      <c r="BF179" s="10">
        <v>0</v>
      </c>
      <c r="BG179" s="10">
        <v>0</v>
      </c>
      <c r="BH179" s="10">
        <v>0</v>
      </c>
      <c r="BI179" s="10">
        <v>0</v>
      </c>
      <c r="BJ179" s="10">
        <v>0</v>
      </c>
      <c r="BK179" s="10">
        <v>0</v>
      </c>
      <c r="BL179" s="10">
        <v>58195.847089529023</v>
      </c>
      <c r="BM179" s="10">
        <v>0</v>
      </c>
      <c r="BN179" s="10">
        <v>0</v>
      </c>
      <c r="BO179" s="10">
        <v>0</v>
      </c>
      <c r="BP179" s="12">
        <v>55424.616275741922</v>
      </c>
      <c r="BQ179" s="12">
        <v>58195.847089529023</v>
      </c>
      <c r="BR179" s="12">
        <v>62257.24009960526</v>
      </c>
      <c r="BS179" s="12">
        <v>65983.211405086433</v>
      </c>
      <c r="BT179" s="12">
        <v>69932.17464125804</v>
      </c>
      <c r="BU179" s="12">
        <f t="shared" si="3"/>
        <v>311793.08951122069</v>
      </c>
    </row>
    <row r="180" spans="1:73" x14ac:dyDescent="0.25">
      <c r="A180" s="6" t="s">
        <v>34</v>
      </c>
      <c r="B180" s="6" t="s">
        <v>18</v>
      </c>
      <c r="C180" s="18" t="s">
        <v>240</v>
      </c>
      <c r="D180" s="7" t="s">
        <v>241</v>
      </c>
      <c r="E180" s="7" t="s">
        <v>21</v>
      </c>
      <c r="F180" s="7" t="s">
        <v>242</v>
      </c>
      <c r="G180" s="7" t="s">
        <v>23</v>
      </c>
      <c r="H180" s="7" t="s">
        <v>251</v>
      </c>
      <c r="I180" s="6" t="s">
        <v>252</v>
      </c>
      <c r="J180" s="7" t="s">
        <v>244</v>
      </c>
      <c r="K180" s="6" t="s">
        <v>285</v>
      </c>
      <c r="L180" s="9">
        <v>1400</v>
      </c>
      <c r="M180" s="10">
        <v>1210</v>
      </c>
      <c r="N180" s="6" t="s">
        <v>286</v>
      </c>
      <c r="O180" s="11">
        <v>0</v>
      </c>
      <c r="P180" s="11"/>
      <c r="Q180" s="11"/>
      <c r="R180" s="11"/>
      <c r="S180" s="11"/>
      <c r="T180" s="11"/>
      <c r="U180" s="11"/>
      <c r="V180" s="11"/>
      <c r="W180" s="11">
        <v>100</v>
      </c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>
        <v>106</v>
      </c>
      <c r="AJ180" s="11"/>
      <c r="AK180" s="11"/>
      <c r="AL180" s="11"/>
      <c r="AM180" s="10">
        <v>100</v>
      </c>
      <c r="AN180" s="10">
        <v>106</v>
      </c>
      <c r="AO180" s="11">
        <v>112.32777831039996</v>
      </c>
      <c r="AP180" s="11">
        <v>119.05037118672077</v>
      </c>
      <c r="AQ180" s="11">
        <v>126.17529780150362</v>
      </c>
      <c r="AR180" s="10">
        <v>0</v>
      </c>
      <c r="AS180" s="10">
        <v>0</v>
      </c>
      <c r="AT180" s="10">
        <v>0</v>
      </c>
      <c r="AU180" s="10">
        <v>0</v>
      </c>
      <c r="AV180" s="10">
        <v>0</v>
      </c>
      <c r="AW180" s="10">
        <v>0</v>
      </c>
      <c r="AX180" s="10">
        <v>0</v>
      </c>
      <c r="AY180" s="10">
        <v>0</v>
      </c>
      <c r="AZ180" s="10">
        <v>138561.54068935482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10">
        <v>0</v>
      </c>
      <c r="BG180" s="10">
        <v>0</v>
      </c>
      <c r="BH180" s="10">
        <v>0</v>
      </c>
      <c r="BI180" s="10">
        <v>0</v>
      </c>
      <c r="BJ180" s="10">
        <v>0</v>
      </c>
      <c r="BK180" s="10">
        <v>0</v>
      </c>
      <c r="BL180" s="10">
        <v>146875.23313071611</v>
      </c>
      <c r="BM180" s="10">
        <v>0</v>
      </c>
      <c r="BN180" s="10">
        <v>0</v>
      </c>
      <c r="BO180" s="10">
        <v>0</v>
      </c>
      <c r="BP180" s="12">
        <v>138561.54068935482</v>
      </c>
      <c r="BQ180" s="12">
        <v>146875.23313071611</v>
      </c>
      <c r="BR180" s="12">
        <v>155643.10024901311</v>
      </c>
      <c r="BS180" s="12">
        <v>164958.02851271603</v>
      </c>
      <c r="BT180" s="12">
        <v>174830.43660314503</v>
      </c>
      <c r="BU180" s="12">
        <f t="shared" si="3"/>
        <v>780868.33918494498</v>
      </c>
    </row>
    <row r="181" spans="1:73" x14ac:dyDescent="0.25">
      <c r="A181" s="6" t="s">
        <v>40</v>
      </c>
      <c r="B181" s="6" t="s">
        <v>18</v>
      </c>
      <c r="C181" s="18" t="s">
        <v>240</v>
      </c>
      <c r="D181" s="7" t="s">
        <v>241</v>
      </c>
      <c r="E181" s="7" t="s">
        <v>21</v>
      </c>
      <c r="F181" s="7" t="s">
        <v>242</v>
      </c>
      <c r="G181" s="7" t="s">
        <v>23</v>
      </c>
      <c r="H181" s="7" t="s">
        <v>256</v>
      </c>
      <c r="I181" s="6" t="s">
        <v>252</v>
      </c>
      <c r="J181" s="7" t="s">
        <v>244</v>
      </c>
      <c r="K181" s="6" t="s">
        <v>285</v>
      </c>
      <c r="L181" s="9">
        <v>1400</v>
      </c>
      <c r="M181" s="10">
        <v>1210</v>
      </c>
      <c r="N181" s="6" t="s">
        <v>286</v>
      </c>
      <c r="O181" s="11">
        <v>0</v>
      </c>
      <c r="P181" s="11"/>
      <c r="Q181" s="11"/>
      <c r="R181" s="11"/>
      <c r="S181" s="11"/>
      <c r="T181" s="11"/>
      <c r="U181" s="11"/>
      <c r="V181" s="11"/>
      <c r="W181" s="11">
        <v>120</v>
      </c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>
        <v>127</v>
      </c>
      <c r="AJ181" s="11"/>
      <c r="AK181" s="11"/>
      <c r="AL181" s="11"/>
      <c r="AM181" s="10">
        <v>120</v>
      </c>
      <c r="AN181" s="10">
        <v>127</v>
      </c>
      <c r="AO181" s="11">
        <v>134.79333397247996</v>
      </c>
      <c r="AP181" s="11">
        <v>142.86044542406495</v>
      </c>
      <c r="AQ181" s="11">
        <v>151.41035736180436</v>
      </c>
      <c r="AR181" s="10">
        <v>0</v>
      </c>
      <c r="AS181" s="10">
        <v>0</v>
      </c>
      <c r="AT181" s="10">
        <v>0</v>
      </c>
      <c r="AU181" s="10">
        <v>0</v>
      </c>
      <c r="AV181" s="10">
        <v>0</v>
      </c>
      <c r="AW181" s="10">
        <v>0</v>
      </c>
      <c r="AX181" s="10">
        <v>0</v>
      </c>
      <c r="AY181" s="10">
        <v>0</v>
      </c>
      <c r="AZ181" s="10">
        <v>166273.84882722577</v>
      </c>
      <c r="BA181" s="10">
        <v>0</v>
      </c>
      <c r="BB181" s="10">
        <v>0</v>
      </c>
      <c r="BC181" s="10">
        <v>0</v>
      </c>
      <c r="BD181" s="10">
        <v>0</v>
      </c>
      <c r="BE181" s="10">
        <v>0</v>
      </c>
      <c r="BF181" s="10">
        <v>0</v>
      </c>
      <c r="BG181" s="10">
        <v>0</v>
      </c>
      <c r="BH181" s="10">
        <v>0</v>
      </c>
      <c r="BI181" s="10">
        <v>0</v>
      </c>
      <c r="BJ181" s="10">
        <v>0</v>
      </c>
      <c r="BK181" s="10">
        <v>0</v>
      </c>
      <c r="BL181" s="10">
        <v>175973.1566754806</v>
      </c>
      <c r="BM181" s="10">
        <v>0</v>
      </c>
      <c r="BN181" s="10">
        <v>0</v>
      </c>
      <c r="BO181" s="10">
        <v>0</v>
      </c>
      <c r="BP181" s="12">
        <v>166273.84882722577</v>
      </c>
      <c r="BQ181" s="12">
        <v>175973.1566754806</v>
      </c>
      <c r="BR181" s="12">
        <v>186771.72029881572</v>
      </c>
      <c r="BS181" s="12">
        <v>197949.63421525928</v>
      </c>
      <c r="BT181" s="12">
        <v>209796.52392377408</v>
      </c>
      <c r="BU181" s="12">
        <f t="shared" si="3"/>
        <v>936764.88394055539</v>
      </c>
    </row>
    <row r="182" spans="1:73" x14ac:dyDescent="0.25">
      <c r="A182" s="6" t="s">
        <v>58</v>
      </c>
      <c r="B182" s="6" t="s">
        <v>18</v>
      </c>
      <c r="C182" s="18" t="s">
        <v>240</v>
      </c>
      <c r="D182" s="7" t="s">
        <v>241</v>
      </c>
      <c r="E182" s="7" t="s">
        <v>21</v>
      </c>
      <c r="F182" s="7" t="s">
        <v>242</v>
      </c>
      <c r="G182" s="7" t="s">
        <v>23</v>
      </c>
      <c r="H182" s="7" t="s">
        <v>274</v>
      </c>
      <c r="I182" s="6" t="s">
        <v>252</v>
      </c>
      <c r="J182" s="7" t="s">
        <v>244</v>
      </c>
      <c r="K182" s="6" t="s">
        <v>285</v>
      </c>
      <c r="L182" s="9">
        <v>1400</v>
      </c>
      <c r="M182" s="10">
        <v>1210</v>
      </c>
      <c r="N182" s="6" t="s">
        <v>286</v>
      </c>
      <c r="O182" s="11">
        <v>0</v>
      </c>
      <c r="P182" s="11"/>
      <c r="Q182" s="11"/>
      <c r="R182" s="11"/>
      <c r="S182" s="11"/>
      <c r="T182" s="11"/>
      <c r="U182" s="11"/>
      <c r="V182" s="11"/>
      <c r="W182" s="11">
        <v>20</v>
      </c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>
        <v>21</v>
      </c>
      <c r="AJ182" s="11"/>
      <c r="AK182" s="11"/>
      <c r="AL182" s="11"/>
      <c r="AM182" s="10">
        <v>20</v>
      </c>
      <c r="AN182" s="10">
        <v>21</v>
      </c>
      <c r="AO182" s="11">
        <v>22.465555662079996</v>
      </c>
      <c r="AP182" s="11">
        <v>23.810074237344161</v>
      </c>
      <c r="AQ182" s="11">
        <v>25.23505956030073</v>
      </c>
      <c r="AR182" s="10">
        <v>0</v>
      </c>
      <c r="AS182" s="10">
        <v>0</v>
      </c>
      <c r="AT182" s="10">
        <v>0</v>
      </c>
      <c r="AU182" s="10">
        <v>0</v>
      </c>
      <c r="AV182" s="10">
        <v>0</v>
      </c>
      <c r="AW182" s="10">
        <v>0</v>
      </c>
      <c r="AX182" s="10">
        <v>0</v>
      </c>
      <c r="AY182" s="10">
        <v>0</v>
      </c>
      <c r="AZ182" s="10">
        <v>27712.308137870961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10">
        <v>0</v>
      </c>
      <c r="BG182" s="10">
        <v>0</v>
      </c>
      <c r="BH182" s="10">
        <v>0</v>
      </c>
      <c r="BI182" s="10">
        <v>0</v>
      </c>
      <c r="BJ182" s="10">
        <v>0</v>
      </c>
      <c r="BK182" s="10">
        <v>0</v>
      </c>
      <c r="BL182" s="10">
        <v>29097.923544764511</v>
      </c>
      <c r="BM182" s="10">
        <v>0</v>
      </c>
      <c r="BN182" s="10">
        <v>0</v>
      </c>
      <c r="BO182" s="10">
        <v>0</v>
      </c>
      <c r="BP182" s="12">
        <v>27712.308137870961</v>
      </c>
      <c r="BQ182" s="12">
        <v>29097.923544764511</v>
      </c>
      <c r="BR182" s="12">
        <v>31128.62004980263</v>
      </c>
      <c r="BS182" s="12">
        <v>32991.605702543216</v>
      </c>
      <c r="BT182" s="12">
        <v>34966.08732062902</v>
      </c>
      <c r="BU182" s="12">
        <f t="shared" si="3"/>
        <v>155896.54475561035</v>
      </c>
    </row>
    <row r="183" spans="1:73" x14ac:dyDescent="0.25">
      <c r="A183" s="6" t="s">
        <v>42</v>
      </c>
      <c r="B183" s="6" t="s">
        <v>18</v>
      </c>
      <c r="C183" s="18" t="s">
        <v>240</v>
      </c>
      <c r="D183" s="7" t="s">
        <v>241</v>
      </c>
      <c r="E183" s="7" t="s">
        <v>21</v>
      </c>
      <c r="F183" s="7" t="s">
        <v>242</v>
      </c>
      <c r="G183" s="7" t="s">
        <v>23</v>
      </c>
      <c r="H183" s="7" t="s">
        <v>260</v>
      </c>
      <c r="I183" s="6" t="s">
        <v>252</v>
      </c>
      <c r="J183" s="7" t="s">
        <v>244</v>
      </c>
      <c r="K183" s="6" t="s">
        <v>285</v>
      </c>
      <c r="L183" s="9">
        <v>1400</v>
      </c>
      <c r="M183" s="10">
        <v>1210</v>
      </c>
      <c r="N183" s="6" t="s">
        <v>286</v>
      </c>
      <c r="O183" s="11">
        <v>0</v>
      </c>
      <c r="P183" s="11"/>
      <c r="Q183" s="11"/>
      <c r="R183" s="11"/>
      <c r="S183" s="11"/>
      <c r="T183" s="11"/>
      <c r="U183" s="11"/>
      <c r="V183" s="11"/>
      <c r="W183" s="11">
        <v>60</v>
      </c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>
        <v>64</v>
      </c>
      <c r="AJ183" s="11"/>
      <c r="AK183" s="11"/>
      <c r="AL183" s="11"/>
      <c r="AM183" s="10">
        <v>60</v>
      </c>
      <c r="AN183" s="10">
        <v>64</v>
      </c>
      <c r="AO183" s="11">
        <v>68</v>
      </c>
      <c r="AP183" s="11">
        <v>71</v>
      </c>
      <c r="AQ183" s="11">
        <v>76</v>
      </c>
      <c r="AR183" s="10">
        <v>0</v>
      </c>
      <c r="AS183" s="10">
        <v>0</v>
      </c>
      <c r="AT183" s="10">
        <v>0</v>
      </c>
      <c r="AU183" s="10">
        <v>0</v>
      </c>
      <c r="AV183" s="10">
        <v>0</v>
      </c>
      <c r="AW183" s="10">
        <v>0</v>
      </c>
      <c r="AX183" s="10">
        <v>0</v>
      </c>
      <c r="AY183" s="10">
        <v>0</v>
      </c>
      <c r="AZ183" s="10">
        <v>83136.924413612884</v>
      </c>
      <c r="BA183" s="10">
        <v>0</v>
      </c>
      <c r="BB183" s="10">
        <v>0</v>
      </c>
      <c r="BC183" s="10">
        <v>0</v>
      </c>
      <c r="BD183" s="10">
        <v>0</v>
      </c>
      <c r="BE183" s="10">
        <v>0</v>
      </c>
      <c r="BF183" s="10">
        <v>0</v>
      </c>
      <c r="BG183" s="10">
        <v>0</v>
      </c>
      <c r="BH183" s="10">
        <v>0</v>
      </c>
      <c r="BI183" s="10">
        <v>0</v>
      </c>
      <c r="BJ183" s="10">
        <v>0</v>
      </c>
      <c r="BK183" s="10">
        <v>0</v>
      </c>
      <c r="BL183" s="10">
        <v>88679.386041187085</v>
      </c>
      <c r="BM183" s="10">
        <v>0</v>
      </c>
      <c r="BN183" s="10">
        <v>0</v>
      </c>
      <c r="BO183" s="10">
        <v>0</v>
      </c>
      <c r="BP183" s="12">
        <v>83136.924413612884</v>
      </c>
      <c r="BQ183" s="12">
        <v>88679.386041187085</v>
      </c>
      <c r="BR183" s="12">
        <v>94221.847668761271</v>
      </c>
      <c r="BS183" s="12">
        <v>98378.693889441915</v>
      </c>
      <c r="BT183" s="12">
        <v>105306.77092390966</v>
      </c>
      <c r="BU183" s="12">
        <f t="shared" si="3"/>
        <v>469723.62293691281</v>
      </c>
    </row>
    <row r="184" spans="1:73" x14ac:dyDescent="0.25">
      <c r="A184" s="6" t="s">
        <v>28</v>
      </c>
      <c r="B184" s="6" t="s">
        <v>18</v>
      </c>
      <c r="C184" s="18" t="s">
        <v>240</v>
      </c>
      <c r="D184" s="7" t="s">
        <v>241</v>
      </c>
      <c r="E184" s="7" t="s">
        <v>21</v>
      </c>
      <c r="F184" s="7" t="s">
        <v>242</v>
      </c>
      <c r="G184" s="7" t="s">
        <v>23</v>
      </c>
      <c r="H184" s="7" t="s">
        <v>247</v>
      </c>
      <c r="I184" s="6" t="s">
        <v>76</v>
      </c>
      <c r="J184" s="7" t="s">
        <v>287</v>
      </c>
      <c r="K184" s="6" t="s">
        <v>289</v>
      </c>
      <c r="L184" s="9">
        <v>6407746.6163947107</v>
      </c>
      <c r="M184" s="10">
        <v>0</v>
      </c>
      <c r="N184" s="6" t="s">
        <v>289</v>
      </c>
      <c r="O184" s="11">
        <v>0</v>
      </c>
      <c r="P184" s="11"/>
      <c r="Q184" s="11"/>
      <c r="R184" s="11"/>
      <c r="S184" s="11"/>
      <c r="T184" s="11"/>
      <c r="U184" s="11"/>
      <c r="V184" s="11">
        <v>1</v>
      </c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>
        <v>0</v>
      </c>
      <c r="AJ184" s="11"/>
      <c r="AK184" s="11"/>
      <c r="AL184" s="11"/>
      <c r="AM184" s="10">
        <v>1</v>
      </c>
      <c r="AN184" s="10">
        <v>0</v>
      </c>
      <c r="AO184" s="11">
        <v>0</v>
      </c>
      <c r="AP184" s="11">
        <v>0</v>
      </c>
      <c r="AQ184" s="11">
        <v>0</v>
      </c>
      <c r="AR184" s="10">
        <v>0</v>
      </c>
      <c r="AS184" s="10">
        <v>0</v>
      </c>
      <c r="AT184" s="10">
        <v>0</v>
      </c>
      <c r="AU184" s="10">
        <v>0</v>
      </c>
      <c r="AV184" s="10">
        <v>0</v>
      </c>
      <c r="AW184" s="10">
        <v>0</v>
      </c>
      <c r="AX184" s="10">
        <v>0</v>
      </c>
      <c r="AY184" s="10">
        <v>6341908.8822475094</v>
      </c>
      <c r="AZ184" s="10">
        <v>0</v>
      </c>
      <c r="BA184" s="10">
        <v>0</v>
      </c>
      <c r="BB184" s="10">
        <v>0</v>
      </c>
      <c r="BC184" s="10">
        <v>0</v>
      </c>
      <c r="BD184" s="10">
        <v>0</v>
      </c>
      <c r="BE184" s="10">
        <v>0</v>
      </c>
      <c r="BF184" s="10">
        <v>0</v>
      </c>
      <c r="BG184" s="10">
        <v>0</v>
      </c>
      <c r="BH184" s="10">
        <v>0</v>
      </c>
      <c r="BI184" s="10">
        <v>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  <c r="BP184" s="12">
        <v>6341908.8822475094</v>
      </c>
      <c r="BQ184" s="12">
        <v>0</v>
      </c>
      <c r="BR184" s="12">
        <v>0</v>
      </c>
      <c r="BS184" s="12">
        <v>0</v>
      </c>
      <c r="BT184" s="12">
        <v>0</v>
      </c>
      <c r="BU184" s="12">
        <f t="shared" si="3"/>
        <v>6341908.8822475094</v>
      </c>
    </row>
    <row r="185" spans="1:73" x14ac:dyDescent="0.25">
      <c r="A185" s="6" t="s">
        <v>30</v>
      </c>
      <c r="B185" s="6" t="s">
        <v>18</v>
      </c>
      <c r="C185" s="18" t="s">
        <v>240</v>
      </c>
      <c r="D185" s="7" t="s">
        <v>241</v>
      </c>
      <c r="E185" s="7" t="s">
        <v>21</v>
      </c>
      <c r="F185" s="7" t="s">
        <v>242</v>
      </c>
      <c r="G185" s="7" t="s">
        <v>23</v>
      </c>
      <c r="H185" s="7" t="s">
        <v>249</v>
      </c>
      <c r="I185" s="6" t="s">
        <v>76</v>
      </c>
      <c r="J185" s="7" t="s">
        <v>287</v>
      </c>
      <c r="K185" s="6" t="s">
        <v>288</v>
      </c>
      <c r="L185" s="9"/>
      <c r="M185" s="10">
        <v>0</v>
      </c>
      <c r="N185" s="6" t="s">
        <v>289</v>
      </c>
      <c r="O185" s="11">
        <v>0</v>
      </c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0">
        <v>0</v>
      </c>
      <c r="AN185" s="10">
        <v>0</v>
      </c>
      <c r="AO185" s="11">
        <v>0</v>
      </c>
      <c r="AP185" s="11">
        <v>0</v>
      </c>
      <c r="AQ185" s="11">
        <v>0</v>
      </c>
      <c r="AR185" s="10">
        <v>0</v>
      </c>
      <c r="AS185" s="10">
        <v>0</v>
      </c>
      <c r="AT185" s="10">
        <v>0</v>
      </c>
      <c r="AU185" s="10">
        <v>0</v>
      </c>
      <c r="AV185" s="10">
        <v>0</v>
      </c>
      <c r="AW185" s="10">
        <v>0</v>
      </c>
      <c r="AX185" s="10">
        <v>0</v>
      </c>
      <c r="AY185" s="10">
        <v>0</v>
      </c>
      <c r="AZ185" s="10">
        <v>0</v>
      </c>
      <c r="BA185" s="10">
        <v>0</v>
      </c>
      <c r="BB185" s="10">
        <v>0</v>
      </c>
      <c r="BC185" s="10">
        <v>0</v>
      </c>
      <c r="BD185" s="10">
        <v>0</v>
      </c>
      <c r="BE185" s="10">
        <v>0</v>
      </c>
      <c r="BF185" s="10">
        <v>0</v>
      </c>
      <c r="BG185" s="10">
        <v>0</v>
      </c>
      <c r="BH185" s="10">
        <v>0</v>
      </c>
      <c r="BI185" s="10">
        <v>0</v>
      </c>
      <c r="BJ185" s="10">
        <v>0</v>
      </c>
      <c r="BK185" s="10">
        <v>0</v>
      </c>
      <c r="BL185" s="10">
        <v>0</v>
      </c>
      <c r="BM185" s="10">
        <v>0</v>
      </c>
      <c r="BN185" s="10">
        <v>0</v>
      </c>
      <c r="BO185" s="10">
        <v>0</v>
      </c>
      <c r="BP185" s="12">
        <v>0</v>
      </c>
      <c r="BQ185" s="12">
        <v>0</v>
      </c>
      <c r="BR185" s="12">
        <v>0</v>
      </c>
      <c r="BS185" s="12">
        <v>0</v>
      </c>
      <c r="BT185" s="12">
        <v>0</v>
      </c>
      <c r="BU185" s="12">
        <f t="shared" si="3"/>
        <v>0</v>
      </c>
    </row>
    <row r="186" spans="1:73" x14ac:dyDescent="0.25">
      <c r="A186" s="6" t="s">
        <v>28</v>
      </c>
      <c r="B186" s="6" t="s">
        <v>18</v>
      </c>
      <c r="C186" s="18" t="s">
        <v>240</v>
      </c>
      <c r="D186" s="7" t="s">
        <v>241</v>
      </c>
      <c r="E186" s="7" t="s">
        <v>21</v>
      </c>
      <c r="F186" s="7" t="s">
        <v>242</v>
      </c>
      <c r="G186" s="7" t="s">
        <v>23</v>
      </c>
      <c r="H186" s="7" t="s">
        <v>247</v>
      </c>
      <c r="I186" s="6" t="s">
        <v>252</v>
      </c>
      <c r="J186" s="7" t="s">
        <v>244</v>
      </c>
      <c r="K186" s="6" t="s">
        <v>290</v>
      </c>
      <c r="L186" s="9">
        <v>1200</v>
      </c>
      <c r="M186" s="10">
        <v>1320</v>
      </c>
      <c r="N186" s="6" t="s">
        <v>290</v>
      </c>
      <c r="O186" s="11">
        <v>0</v>
      </c>
      <c r="P186" s="11"/>
      <c r="Q186" s="11"/>
      <c r="R186" s="11"/>
      <c r="S186" s="11"/>
      <c r="T186" s="11"/>
      <c r="U186" s="11"/>
      <c r="V186" s="11"/>
      <c r="W186" s="11">
        <v>60</v>
      </c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>
        <v>64</v>
      </c>
      <c r="AJ186" s="11"/>
      <c r="AK186" s="11"/>
      <c r="AL186" s="11"/>
      <c r="AM186" s="10">
        <v>60</v>
      </c>
      <c r="AN186" s="10">
        <v>64</v>
      </c>
      <c r="AO186" s="11">
        <v>68</v>
      </c>
      <c r="AP186" s="11">
        <v>71</v>
      </c>
      <c r="AQ186" s="11">
        <v>76</v>
      </c>
      <c r="AR186" s="10">
        <v>0</v>
      </c>
      <c r="AS186" s="10">
        <v>0</v>
      </c>
      <c r="AT186" s="10">
        <v>0</v>
      </c>
      <c r="AU186" s="10">
        <v>0</v>
      </c>
      <c r="AV186" s="10">
        <v>0</v>
      </c>
      <c r="AW186" s="10">
        <v>0</v>
      </c>
      <c r="AX186" s="10">
        <v>0</v>
      </c>
      <c r="AY186" s="10">
        <v>0</v>
      </c>
      <c r="AZ186" s="10">
        <v>71260.220925953909</v>
      </c>
      <c r="BA186" s="10">
        <v>0</v>
      </c>
      <c r="BB186" s="10">
        <v>0</v>
      </c>
      <c r="BC186" s="10">
        <v>0</v>
      </c>
      <c r="BD186" s="10">
        <v>0</v>
      </c>
      <c r="BE186" s="10">
        <v>0</v>
      </c>
      <c r="BF186" s="10">
        <v>0</v>
      </c>
      <c r="BG186" s="10">
        <v>0</v>
      </c>
      <c r="BH186" s="10">
        <v>0</v>
      </c>
      <c r="BI186" s="10">
        <v>0</v>
      </c>
      <c r="BJ186" s="10">
        <v>0</v>
      </c>
      <c r="BK186" s="10">
        <v>0</v>
      </c>
      <c r="BL186" s="10">
        <v>76010.902321017493</v>
      </c>
      <c r="BM186" s="10">
        <v>0</v>
      </c>
      <c r="BN186" s="10">
        <v>0</v>
      </c>
      <c r="BO186" s="10">
        <v>0</v>
      </c>
      <c r="BP186" s="12">
        <v>71260.220925953909</v>
      </c>
      <c r="BQ186" s="12">
        <v>76010.902321017493</v>
      </c>
      <c r="BR186" s="12">
        <v>80761.583716081092</v>
      </c>
      <c r="BS186" s="12">
        <v>84324.59476237878</v>
      </c>
      <c r="BT186" s="12">
        <v>90262.946506208275</v>
      </c>
      <c r="BU186" s="12">
        <f t="shared" si="3"/>
        <v>402620.24823163956</v>
      </c>
    </row>
    <row r="187" spans="1:73" x14ac:dyDescent="0.25">
      <c r="A187" s="6" t="s">
        <v>30</v>
      </c>
      <c r="B187" s="6" t="s">
        <v>18</v>
      </c>
      <c r="C187" s="18" t="s">
        <v>240</v>
      </c>
      <c r="D187" s="7" t="s">
        <v>241</v>
      </c>
      <c r="E187" s="7" t="s">
        <v>21</v>
      </c>
      <c r="F187" s="7" t="s">
        <v>242</v>
      </c>
      <c r="G187" s="7" t="s">
        <v>23</v>
      </c>
      <c r="H187" s="7" t="s">
        <v>249</v>
      </c>
      <c r="I187" s="6" t="s">
        <v>252</v>
      </c>
      <c r="J187" s="7" t="s">
        <v>244</v>
      </c>
      <c r="K187" s="6" t="s">
        <v>290</v>
      </c>
      <c r="L187" s="9">
        <v>1200</v>
      </c>
      <c r="M187" s="10">
        <v>1320</v>
      </c>
      <c r="N187" s="6" t="s">
        <v>290</v>
      </c>
      <c r="O187" s="11">
        <v>0</v>
      </c>
      <c r="P187" s="11"/>
      <c r="Q187" s="11"/>
      <c r="R187" s="11"/>
      <c r="S187" s="11"/>
      <c r="T187" s="11"/>
      <c r="U187" s="11"/>
      <c r="V187" s="11"/>
      <c r="W187" s="11">
        <v>34</v>
      </c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>
        <v>36</v>
      </c>
      <c r="AJ187" s="11"/>
      <c r="AK187" s="11"/>
      <c r="AL187" s="11"/>
      <c r="AM187" s="10">
        <v>34</v>
      </c>
      <c r="AN187" s="10">
        <v>36</v>
      </c>
      <c r="AO187" s="11">
        <v>38.191444625535986</v>
      </c>
      <c r="AP187" s="11">
        <v>40.477126203485057</v>
      </c>
      <c r="AQ187" s="11">
        <v>42.899601252511225</v>
      </c>
      <c r="AR187" s="10">
        <v>0</v>
      </c>
      <c r="AS187" s="10">
        <v>0</v>
      </c>
      <c r="AT187" s="10">
        <v>0</v>
      </c>
      <c r="AU187" s="10">
        <v>0</v>
      </c>
      <c r="AV187" s="10">
        <v>0</v>
      </c>
      <c r="AW187" s="10">
        <v>0</v>
      </c>
      <c r="AX187" s="10">
        <v>0</v>
      </c>
      <c r="AY187" s="10">
        <v>0</v>
      </c>
      <c r="AZ187" s="10">
        <v>40380.791858040546</v>
      </c>
      <c r="BA187" s="10">
        <v>0</v>
      </c>
      <c r="BB187" s="10">
        <v>0</v>
      </c>
      <c r="BC187" s="10">
        <v>0</v>
      </c>
      <c r="BD187" s="10">
        <v>0</v>
      </c>
      <c r="BE187" s="10">
        <v>0</v>
      </c>
      <c r="BF187" s="10">
        <v>0</v>
      </c>
      <c r="BG187" s="10">
        <v>0</v>
      </c>
      <c r="BH187" s="10">
        <v>0</v>
      </c>
      <c r="BI187" s="10">
        <v>0</v>
      </c>
      <c r="BJ187" s="10">
        <v>0</v>
      </c>
      <c r="BK187" s="10">
        <v>0</v>
      </c>
      <c r="BL187" s="10">
        <v>42756.132555572345</v>
      </c>
      <c r="BM187" s="10">
        <v>0</v>
      </c>
      <c r="BN187" s="10">
        <v>0</v>
      </c>
      <c r="BO187" s="10">
        <v>0</v>
      </c>
      <c r="BP187" s="12">
        <v>40380.791858040546</v>
      </c>
      <c r="BQ187" s="12">
        <v>42756.132555572345</v>
      </c>
      <c r="BR187" s="12">
        <v>45358.846358283823</v>
      </c>
      <c r="BS187" s="12">
        <v>48073.482595134381</v>
      </c>
      <c r="BT187" s="12">
        <v>50950.584381487977</v>
      </c>
      <c r="BU187" s="12">
        <f t="shared" si="3"/>
        <v>227519.83774851909</v>
      </c>
    </row>
    <row r="188" spans="1:73" x14ac:dyDescent="0.25">
      <c r="A188" s="6" t="s">
        <v>32</v>
      </c>
      <c r="B188" s="6" t="s">
        <v>18</v>
      </c>
      <c r="C188" s="18" t="s">
        <v>240</v>
      </c>
      <c r="D188" s="7" t="s">
        <v>241</v>
      </c>
      <c r="E188" s="7" t="s">
        <v>21</v>
      </c>
      <c r="F188" s="7" t="s">
        <v>242</v>
      </c>
      <c r="G188" s="7" t="s">
        <v>23</v>
      </c>
      <c r="H188" s="7" t="s">
        <v>250</v>
      </c>
      <c r="I188" s="6" t="s">
        <v>252</v>
      </c>
      <c r="J188" s="7" t="s">
        <v>244</v>
      </c>
      <c r="K188" s="6" t="s">
        <v>290</v>
      </c>
      <c r="L188" s="9">
        <v>1200</v>
      </c>
      <c r="M188" s="10">
        <v>1320</v>
      </c>
      <c r="N188" s="6" t="s">
        <v>290</v>
      </c>
      <c r="O188" s="11">
        <v>0</v>
      </c>
      <c r="P188" s="11"/>
      <c r="Q188" s="11"/>
      <c r="R188" s="11"/>
      <c r="S188" s="11"/>
      <c r="T188" s="11"/>
      <c r="U188" s="11"/>
      <c r="V188" s="11"/>
      <c r="W188" s="11">
        <v>4</v>
      </c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>
        <v>4</v>
      </c>
      <c r="AJ188" s="11"/>
      <c r="AK188" s="11"/>
      <c r="AL188" s="11"/>
      <c r="AM188" s="10">
        <v>4</v>
      </c>
      <c r="AN188" s="10">
        <v>4</v>
      </c>
      <c r="AO188" s="11">
        <v>4.4931111324159989</v>
      </c>
      <c r="AP188" s="11">
        <v>4.7620148474688309</v>
      </c>
      <c r="AQ188" s="11">
        <v>5.0470119120601451</v>
      </c>
      <c r="AR188" s="10">
        <v>0</v>
      </c>
      <c r="AS188" s="10">
        <v>0</v>
      </c>
      <c r="AT188" s="10">
        <v>0</v>
      </c>
      <c r="AU188" s="10">
        <v>0</v>
      </c>
      <c r="AV188" s="10">
        <v>0</v>
      </c>
      <c r="AW188" s="10">
        <v>0</v>
      </c>
      <c r="AX188" s="10">
        <v>0</v>
      </c>
      <c r="AY188" s="10">
        <v>0</v>
      </c>
      <c r="AZ188" s="10">
        <v>4750.6813950635933</v>
      </c>
      <c r="BA188" s="10">
        <v>0</v>
      </c>
      <c r="BB188" s="10">
        <v>0</v>
      </c>
      <c r="BC188" s="10">
        <v>0</v>
      </c>
      <c r="BD188" s="10">
        <v>0</v>
      </c>
      <c r="BE188" s="10">
        <v>0</v>
      </c>
      <c r="BF188" s="10">
        <v>0</v>
      </c>
      <c r="BG188" s="10">
        <v>0</v>
      </c>
      <c r="BH188" s="10">
        <v>0</v>
      </c>
      <c r="BI188" s="10">
        <v>0</v>
      </c>
      <c r="BJ188" s="10">
        <v>0</v>
      </c>
      <c r="BK188" s="10">
        <v>0</v>
      </c>
      <c r="BL188" s="10">
        <v>4750.6813950635933</v>
      </c>
      <c r="BM188" s="10">
        <v>0</v>
      </c>
      <c r="BN188" s="10">
        <v>0</v>
      </c>
      <c r="BO188" s="10">
        <v>0</v>
      </c>
      <c r="BP188" s="12">
        <v>4750.6813950635933</v>
      </c>
      <c r="BQ188" s="12">
        <v>4750.6813950635933</v>
      </c>
      <c r="BR188" s="12">
        <v>5336.3348656804501</v>
      </c>
      <c r="BS188" s="12">
        <v>5655.7038347216921</v>
      </c>
      <c r="BT188" s="12">
        <v>5994.1863978221163</v>
      </c>
      <c r="BU188" s="12">
        <f t="shared" si="3"/>
        <v>26487.587888351445</v>
      </c>
    </row>
    <row r="189" spans="1:73" x14ac:dyDescent="0.25">
      <c r="A189" s="6" t="s">
        <v>34</v>
      </c>
      <c r="B189" s="6" t="s">
        <v>18</v>
      </c>
      <c r="C189" s="18" t="s">
        <v>240</v>
      </c>
      <c r="D189" s="7" t="s">
        <v>241</v>
      </c>
      <c r="E189" s="7" t="s">
        <v>21</v>
      </c>
      <c r="F189" s="7" t="s">
        <v>242</v>
      </c>
      <c r="G189" s="7" t="s">
        <v>23</v>
      </c>
      <c r="H189" s="7" t="s">
        <v>251</v>
      </c>
      <c r="I189" s="6" t="s">
        <v>252</v>
      </c>
      <c r="J189" s="7" t="s">
        <v>244</v>
      </c>
      <c r="K189" s="6" t="s">
        <v>290</v>
      </c>
      <c r="L189" s="9">
        <v>1200</v>
      </c>
      <c r="M189" s="10">
        <v>1320</v>
      </c>
      <c r="N189" s="6" t="s">
        <v>290</v>
      </c>
      <c r="O189" s="11">
        <v>0</v>
      </c>
      <c r="P189" s="11"/>
      <c r="Q189" s="11"/>
      <c r="R189" s="11"/>
      <c r="S189" s="11"/>
      <c r="T189" s="11"/>
      <c r="U189" s="11"/>
      <c r="V189" s="11"/>
      <c r="W189" s="11">
        <v>44</v>
      </c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>
        <v>47</v>
      </c>
      <c r="AJ189" s="11"/>
      <c r="AK189" s="11"/>
      <c r="AL189" s="11"/>
      <c r="AM189" s="10">
        <v>44</v>
      </c>
      <c r="AN189" s="10">
        <v>47</v>
      </c>
      <c r="AO189" s="11">
        <v>49.42422245657599</v>
      </c>
      <c r="AP189" s="11">
        <v>52.382163322157147</v>
      </c>
      <c r="AQ189" s="11">
        <v>55.517131032661602</v>
      </c>
      <c r="AR189" s="10">
        <v>0</v>
      </c>
      <c r="AS189" s="10">
        <v>0</v>
      </c>
      <c r="AT189" s="10">
        <v>0</v>
      </c>
      <c r="AU189" s="10">
        <v>0</v>
      </c>
      <c r="AV189" s="10">
        <v>0</v>
      </c>
      <c r="AW189" s="10">
        <v>0</v>
      </c>
      <c r="AX189" s="10">
        <v>0</v>
      </c>
      <c r="AY189" s="10">
        <v>0</v>
      </c>
      <c r="AZ189" s="10">
        <v>52257.495345699528</v>
      </c>
      <c r="BA189" s="10">
        <v>0</v>
      </c>
      <c r="BB189" s="10">
        <v>0</v>
      </c>
      <c r="BC189" s="10">
        <v>0</v>
      </c>
      <c r="BD189" s="10">
        <v>0</v>
      </c>
      <c r="BE189" s="10">
        <v>0</v>
      </c>
      <c r="BF189" s="10">
        <v>0</v>
      </c>
      <c r="BG189" s="10">
        <v>0</v>
      </c>
      <c r="BH189" s="10">
        <v>0</v>
      </c>
      <c r="BI189" s="10">
        <v>0</v>
      </c>
      <c r="BJ189" s="10">
        <v>0</v>
      </c>
      <c r="BK189" s="10">
        <v>0</v>
      </c>
      <c r="BL189" s="10">
        <v>55820.506391997224</v>
      </c>
      <c r="BM189" s="10">
        <v>0</v>
      </c>
      <c r="BN189" s="10">
        <v>0</v>
      </c>
      <c r="BO189" s="10">
        <v>0</v>
      </c>
      <c r="BP189" s="12">
        <v>52257.495345699528</v>
      </c>
      <c r="BQ189" s="12">
        <v>55820.506391997224</v>
      </c>
      <c r="BR189" s="12">
        <v>58699.683522484956</v>
      </c>
      <c r="BS189" s="12">
        <v>62212.742181938629</v>
      </c>
      <c r="BT189" s="12">
        <v>65936.050376043277</v>
      </c>
      <c r="BU189" s="12">
        <f t="shared" si="3"/>
        <v>294926.47781816364</v>
      </c>
    </row>
    <row r="190" spans="1:73" x14ac:dyDescent="0.25">
      <c r="A190" s="6" t="s">
        <v>38</v>
      </c>
      <c r="B190" s="6" t="s">
        <v>18</v>
      </c>
      <c r="C190" s="18" t="s">
        <v>240</v>
      </c>
      <c r="D190" s="7" t="s">
        <v>241</v>
      </c>
      <c r="E190" s="7" t="s">
        <v>21</v>
      </c>
      <c r="F190" s="7" t="s">
        <v>242</v>
      </c>
      <c r="G190" s="7" t="s">
        <v>23</v>
      </c>
      <c r="H190" s="7" t="s">
        <v>243</v>
      </c>
      <c r="I190" s="6" t="s">
        <v>252</v>
      </c>
      <c r="J190" s="7" t="s">
        <v>244</v>
      </c>
      <c r="K190" s="6" t="s">
        <v>290</v>
      </c>
      <c r="L190" s="9">
        <v>1200</v>
      </c>
      <c r="M190" s="10">
        <v>1320</v>
      </c>
      <c r="N190" s="6" t="s">
        <v>290</v>
      </c>
      <c r="O190" s="11">
        <v>0</v>
      </c>
      <c r="P190" s="11"/>
      <c r="Q190" s="11"/>
      <c r="R190" s="11"/>
      <c r="S190" s="11"/>
      <c r="T190" s="11"/>
      <c r="U190" s="11"/>
      <c r="V190" s="11"/>
      <c r="W190" s="11">
        <v>4</v>
      </c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>
        <v>4</v>
      </c>
      <c r="AJ190" s="11"/>
      <c r="AK190" s="11"/>
      <c r="AL190" s="11"/>
      <c r="AM190" s="10">
        <v>4</v>
      </c>
      <c r="AN190" s="10">
        <v>4</v>
      </c>
      <c r="AO190" s="11">
        <v>4.4931111324159989</v>
      </c>
      <c r="AP190" s="11">
        <v>4.7620148474688309</v>
      </c>
      <c r="AQ190" s="11">
        <v>5.0470119120601451</v>
      </c>
      <c r="AR190" s="10">
        <v>0</v>
      </c>
      <c r="AS190" s="10">
        <v>0</v>
      </c>
      <c r="AT190" s="10">
        <v>0</v>
      </c>
      <c r="AU190" s="10">
        <v>0</v>
      </c>
      <c r="AV190" s="10">
        <v>0</v>
      </c>
      <c r="AW190" s="10">
        <v>0</v>
      </c>
      <c r="AX190" s="10">
        <v>0</v>
      </c>
      <c r="AY190" s="10">
        <v>0</v>
      </c>
      <c r="AZ190" s="10">
        <v>4750.6813950635933</v>
      </c>
      <c r="BA190" s="10">
        <v>0</v>
      </c>
      <c r="BB190" s="10">
        <v>0</v>
      </c>
      <c r="BC190" s="10">
        <v>0</v>
      </c>
      <c r="BD190" s="10">
        <v>0</v>
      </c>
      <c r="BE190" s="10">
        <v>0</v>
      </c>
      <c r="BF190" s="10">
        <v>0</v>
      </c>
      <c r="BG190" s="10">
        <v>0</v>
      </c>
      <c r="BH190" s="10">
        <v>0</v>
      </c>
      <c r="BI190" s="10">
        <v>0</v>
      </c>
      <c r="BJ190" s="10">
        <v>0</v>
      </c>
      <c r="BK190" s="10">
        <v>0</v>
      </c>
      <c r="BL190" s="10">
        <v>4750.6813950635933</v>
      </c>
      <c r="BM190" s="10">
        <v>0</v>
      </c>
      <c r="BN190" s="10">
        <v>0</v>
      </c>
      <c r="BO190" s="10">
        <v>0</v>
      </c>
      <c r="BP190" s="12">
        <v>4750.6813950635933</v>
      </c>
      <c r="BQ190" s="12">
        <v>4750.6813950635933</v>
      </c>
      <c r="BR190" s="12">
        <v>5336.3348656804501</v>
      </c>
      <c r="BS190" s="12">
        <v>5655.7038347216921</v>
      </c>
      <c r="BT190" s="12">
        <v>5994.1863978221163</v>
      </c>
      <c r="BU190" s="12">
        <f t="shared" si="3"/>
        <v>26487.587888351445</v>
      </c>
    </row>
    <row r="191" spans="1:73" x14ac:dyDescent="0.25">
      <c r="A191" s="6" t="s">
        <v>40</v>
      </c>
      <c r="B191" s="6" t="s">
        <v>18</v>
      </c>
      <c r="C191" s="18" t="s">
        <v>240</v>
      </c>
      <c r="D191" s="7" t="s">
        <v>241</v>
      </c>
      <c r="E191" s="7" t="s">
        <v>21</v>
      </c>
      <c r="F191" s="7" t="s">
        <v>242</v>
      </c>
      <c r="G191" s="7" t="s">
        <v>23</v>
      </c>
      <c r="H191" s="7" t="s">
        <v>256</v>
      </c>
      <c r="I191" s="6" t="s">
        <v>252</v>
      </c>
      <c r="J191" s="7" t="s">
        <v>244</v>
      </c>
      <c r="K191" s="6" t="s">
        <v>290</v>
      </c>
      <c r="L191" s="9">
        <v>1200</v>
      </c>
      <c r="M191" s="10">
        <v>1320</v>
      </c>
      <c r="N191" s="6" t="s">
        <v>290</v>
      </c>
      <c r="O191" s="11">
        <v>0</v>
      </c>
      <c r="P191" s="11"/>
      <c r="Q191" s="11"/>
      <c r="R191" s="11"/>
      <c r="S191" s="11"/>
      <c r="T191" s="11"/>
      <c r="U191" s="11"/>
      <c r="V191" s="11"/>
      <c r="W191" s="11">
        <v>50</v>
      </c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>
        <v>53</v>
      </c>
      <c r="AJ191" s="11"/>
      <c r="AK191" s="11"/>
      <c r="AL191" s="11"/>
      <c r="AM191" s="10">
        <v>50</v>
      </c>
      <c r="AN191" s="10">
        <v>53</v>
      </c>
      <c r="AO191" s="11">
        <v>56.163889155199989</v>
      </c>
      <c r="AP191" s="11">
        <v>59.525185593360391</v>
      </c>
      <c r="AQ191" s="11">
        <v>63.087648900751823</v>
      </c>
      <c r="AR191" s="10">
        <v>0</v>
      </c>
      <c r="AS191" s="10">
        <v>0</v>
      </c>
      <c r="AT191" s="10">
        <v>0</v>
      </c>
      <c r="AU191" s="10">
        <v>0</v>
      </c>
      <c r="AV191" s="10">
        <v>0</v>
      </c>
      <c r="AW191" s="10">
        <v>0</v>
      </c>
      <c r="AX191" s="10">
        <v>0</v>
      </c>
      <c r="AY191" s="10">
        <v>0</v>
      </c>
      <c r="AZ191" s="10">
        <v>59383.517438294919</v>
      </c>
      <c r="BA191" s="10">
        <v>0</v>
      </c>
      <c r="BB191" s="10">
        <v>0</v>
      </c>
      <c r="BC191" s="10">
        <v>0</v>
      </c>
      <c r="BD191" s="10">
        <v>0</v>
      </c>
      <c r="BE191" s="10">
        <v>0</v>
      </c>
      <c r="BF191" s="10">
        <v>0</v>
      </c>
      <c r="BG191" s="10">
        <v>0</v>
      </c>
      <c r="BH191" s="10">
        <v>0</v>
      </c>
      <c r="BI191" s="10">
        <v>0</v>
      </c>
      <c r="BJ191" s="10">
        <v>0</v>
      </c>
      <c r="BK191" s="10">
        <v>0</v>
      </c>
      <c r="BL191" s="10">
        <v>62946.528484592614</v>
      </c>
      <c r="BM191" s="10">
        <v>0</v>
      </c>
      <c r="BN191" s="10">
        <v>0</v>
      </c>
      <c r="BO191" s="10">
        <v>0</v>
      </c>
      <c r="BP191" s="12">
        <v>59383.517438294919</v>
      </c>
      <c r="BQ191" s="12">
        <v>62946.528484592614</v>
      </c>
      <c r="BR191" s="12">
        <v>66704.185821005623</v>
      </c>
      <c r="BS191" s="12">
        <v>70696.29793402116</v>
      </c>
      <c r="BT191" s="12">
        <v>74927.329972776468</v>
      </c>
      <c r="BU191" s="12">
        <f t="shared" si="3"/>
        <v>334657.85965069081</v>
      </c>
    </row>
    <row r="192" spans="1:73" x14ac:dyDescent="0.25">
      <c r="A192" s="6" t="s">
        <v>42</v>
      </c>
      <c r="B192" s="6" t="s">
        <v>18</v>
      </c>
      <c r="C192" s="18" t="s">
        <v>240</v>
      </c>
      <c r="D192" s="7" t="s">
        <v>241</v>
      </c>
      <c r="E192" s="7" t="s">
        <v>21</v>
      </c>
      <c r="F192" s="7" t="s">
        <v>242</v>
      </c>
      <c r="G192" s="7" t="s">
        <v>23</v>
      </c>
      <c r="H192" s="7" t="s">
        <v>260</v>
      </c>
      <c r="I192" s="6" t="s">
        <v>252</v>
      </c>
      <c r="J192" s="7" t="s">
        <v>244</v>
      </c>
      <c r="K192" s="6" t="s">
        <v>290</v>
      </c>
      <c r="L192" s="9">
        <v>1200</v>
      </c>
      <c r="M192" s="10">
        <v>1320</v>
      </c>
      <c r="N192" s="6" t="s">
        <v>290</v>
      </c>
      <c r="O192" s="11">
        <v>0</v>
      </c>
      <c r="P192" s="11"/>
      <c r="Q192" s="11"/>
      <c r="R192" s="11"/>
      <c r="S192" s="11"/>
      <c r="T192" s="11"/>
      <c r="U192" s="11"/>
      <c r="V192" s="11"/>
      <c r="W192" s="11">
        <v>4</v>
      </c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>
        <v>4</v>
      </c>
      <c r="AJ192" s="11"/>
      <c r="AK192" s="11"/>
      <c r="AL192" s="11"/>
      <c r="AM192" s="10">
        <v>4</v>
      </c>
      <c r="AN192" s="10">
        <v>4</v>
      </c>
      <c r="AO192" s="11">
        <v>4.4931111324159989</v>
      </c>
      <c r="AP192" s="11">
        <v>4.7620148474688309</v>
      </c>
      <c r="AQ192" s="11">
        <v>5.0470119120601451</v>
      </c>
      <c r="AR192" s="10">
        <v>0</v>
      </c>
      <c r="AS192" s="10">
        <v>0</v>
      </c>
      <c r="AT192" s="10">
        <v>0</v>
      </c>
      <c r="AU192" s="10">
        <v>0</v>
      </c>
      <c r="AV192" s="10">
        <v>0</v>
      </c>
      <c r="AW192" s="10">
        <v>0</v>
      </c>
      <c r="AX192" s="10">
        <v>0</v>
      </c>
      <c r="AY192" s="10">
        <v>0</v>
      </c>
      <c r="AZ192" s="10">
        <v>4750.6813950635933</v>
      </c>
      <c r="BA192" s="10">
        <v>0</v>
      </c>
      <c r="BB192" s="10">
        <v>0</v>
      </c>
      <c r="BC192" s="10">
        <v>0</v>
      </c>
      <c r="BD192" s="10">
        <v>0</v>
      </c>
      <c r="BE192" s="10">
        <v>0</v>
      </c>
      <c r="BF192" s="10">
        <v>0</v>
      </c>
      <c r="BG192" s="10">
        <v>0</v>
      </c>
      <c r="BH192" s="10">
        <v>0</v>
      </c>
      <c r="BI192" s="10">
        <v>0</v>
      </c>
      <c r="BJ192" s="10">
        <v>0</v>
      </c>
      <c r="BK192" s="10">
        <v>0</v>
      </c>
      <c r="BL192" s="10">
        <v>4750.6813950635933</v>
      </c>
      <c r="BM192" s="10">
        <v>0</v>
      </c>
      <c r="BN192" s="10">
        <v>0</v>
      </c>
      <c r="BO192" s="10">
        <v>0</v>
      </c>
      <c r="BP192" s="12">
        <v>4750.6813950635933</v>
      </c>
      <c r="BQ192" s="12">
        <v>4750.6813950635933</v>
      </c>
      <c r="BR192" s="12">
        <v>5336.3348656804501</v>
      </c>
      <c r="BS192" s="12">
        <v>5655.7038347216921</v>
      </c>
      <c r="BT192" s="12">
        <v>5994.1863978221163</v>
      </c>
      <c r="BU192" s="12">
        <f t="shared" si="3"/>
        <v>26487.587888351445</v>
      </c>
    </row>
    <row r="193" spans="1:73" x14ac:dyDescent="0.25">
      <c r="A193" s="6" t="s">
        <v>28</v>
      </c>
      <c r="B193" s="6" t="s">
        <v>18</v>
      </c>
      <c r="C193" s="18" t="s">
        <v>240</v>
      </c>
      <c r="D193" s="7" t="s">
        <v>241</v>
      </c>
      <c r="E193" s="7" t="s">
        <v>21</v>
      </c>
      <c r="F193" s="7" t="s">
        <v>242</v>
      </c>
      <c r="G193" s="7" t="s">
        <v>23</v>
      </c>
      <c r="H193" s="7" t="s">
        <v>247</v>
      </c>
      <c r="I193" s="6" t="s">
        <v>248</v>
      </c>
      <c r="J193" s="7" t="s">
        <v>244</v>
      </c>
      <c r="K193" s="6" t="s">
        <v>245</v>
      </c>
      <c r="L193" s="9">
        <v>51000</v>
      </c>
      <c r="M193" s="10">
        <v>0</v>
      </c>
      <c r="N193" s="6" t="s">
        <v>291</v>
      </c>
      <c r="O193" s="11">
        <v>0</v>
      </c>
      <c r="P193" s="11"/>
      <c r="Q193" s="11"/>
      <c r="R193" s="11"/>
      <c r="S193" s="11"/>
      <c r="T193" s="11"/>
      <c r="U193" s="11"/>
      <c r="V193" s="11"/>
      <c r="W193" s="11">
        <v>1</v>
      </c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>
        <v>1</v>
      </c>
      <c r="AJ193" s="11"/>
      <c r="AK193" s="11"/>
      <c r="AL193" s="11"/>
      <c r="AM193" s="10">
        <v>1</v>
      </c>
      <c r="AN193" s="10">
        <v>1</v>
      </c>
      <c r="AO193" s="11">
        <v>1</v>
      </c>
      <c r="AP193" s="11">
        <v>1</v>
      </c>
      <c r="AQ193" s="11">
        <v>1</v>
      </c>
      <c r="AR193" s="10">
        <v>0</v>
      </c>
      <c r="AS193" s="10">
        <v>0</v>
      </c>
      <c r="AT193" s="10">
        <v>0</v>
      </c>
      <c r="AU193" s="10">
        <v>0</v>
      </c>
      <c r="AV193" s="10">
        <v>0</v>
      </c>
      <c r="AW193" s="10">
        <v>0</v>
      </c>
      <c r="AX193" s="10">
        <v>0</v>
      </c>
      <c r="AY193" s="10">
        <v>0</v>
      </c>
      <c r="AZ193" s="10">
        <v>50475.989822550684</v>
      </c>
      <c r="BA193" s="10">
        <v>0</v>
      </c>
      <c r="BB193" s="10">
        <v>0</v>
      </c>
      <c r="BC193" s="10">
        <v>0</v>
      </c>
      <c r="BD193" s="10">
        <v>0</v>
      </c>
      <c r="BE193" s="10">
        <v>0</v>
      </c>
      <c r="BF193" s="10">
        <v>0</v>
      </c>
      <c r="BG193" s="10">
        <v>0</v>
      </c>
      <c r="BH193" s="10">
        <v>0</v>
      </c>
      <c r="BI193" s="10">
        <v>0</v>
      </c>
      <c r="BJ193" s="10">
        <v>0</v>
      </c>
      <c r="BK193" s="10">
        <v>0</v>
      </c>
      <c r="BL193" s="10">
        <v>50475.989822550684</v>
      </c>
      <c r="BM193" s="10">
        <v>0</v>
      </c>
      <c r="BN193" s="10">
        <v>0</v>
      </c>
      <c r="BO193" s="10">
        <v>0</v>
      </c>
      <c r="BP193" s="12">
        <v>50475.989822550684</v>
      </c>
      <c r="BQ193" s="12">
        <v>50475.989822550684</v>
      </c>
      <c r="BR193" s="12">
        <v>50475.989822550684</v>
      </c>
      <c r="BS193" s="12">
        <v>50475.989822550684</v>
      </c>
      <c r="BT193" s="12">
        <v>50475.989822550684</v>
      </c>
      <c r="BU193" s="12">
        <f t="shared" si="3"/>
        <v>252379.94911275341</v>
      </c>
    </row>
    <row r="194" spans="1:73" x14ac:dyDescent="0.25">
      <c r="A194" s="6" t="s">
        <v>28</v>
      </c>
      <c r="B194" s="6" t="s">
        <v>18</v>
      </c>
      <c r="C194" s="18" t="s">
        <v>240</v>
      </c>
      <c r="D194" s="7" t="s">
        <v>241</v>
      </c>
      <c r="E194" s="7" t="s">
        <v>21</v>
      </c>
      <c r="F194" s="7" t="s">
        <v>242</v>
      </c>
      <c r="G194" s="7" t="s">
        <v>23</v>
      </c>
      <c r="H194" s="7" t="s">
        <v>247</v>
      </c>
      <c r="I194" s="6" t="s">
        <v>76</v>
      </c>
      <c r="J194" s="7" t="s">
        <v>244</v>
      </c>
      <c r="K194" s="6" t="s">
        <v>245</v>
      </c>
      <c r="L194" s="9">
        <v>42000</v>
      </c>
      <c r="M194" s="10">
        <v>0</v>
      </c>
      <c r="N194" s="6" t="s">
        <v>291</v>
      </c>
      <c r="O194" s="11">
        <v>0</v>
      </c>
      <c r="P194" s="11"/>
      <c r="Q194" s="11"/>
      <c r="R194" s="11"/>
      <c r="S194" s="11"/>
      <c r="T194" s="11"/>
      <c r="U194" s="11"/>
      <c r="V194" s="11"/>
      <c r="W194" s="11">
        <v>1</v>
      </c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>
        <v>1</v>
      </c>
      <c r="AJ194" s="11"/>
      <c r="AK194" s="11"/>
      <c r="AL194" s="11"/>
      <c r="AM194" s="10">
        <v>1</v>
      </c>
      <c r="AN194" s="10">
        <v>1</v>
      </c>
      <c r="AO194" s="11">
        <v>1</v>
      </c>
      <c r="AP194" s="11">
        <v>1</v>
      </c>
      <c r="AQ194" s="11">
        <v>1</v>
      </c>
      <c r="AR194" s="10">
        <v>0</v>
      </c>
      <c r="AS194" s="10">
        <v>0</v>
      </c>
      <c r="AT194" s="10">
        <v>0</v>
      </c>
      <c r="AU194" s="10">
        <v>0</v>
      </c>
      <c r="AV194" s="10">
        <v>0</v>
      </c>
      <c r="AW194" s="10">
        <v>0</v>
      </c>
      <c r="AX194" s="10">
        <v>0</v>
      </c>
      <c r="AY194" s="10">
        <v>0</v>
      </c>
      <c r="AZ194" s="10">
        <v>41568.462206806442</v>
      </c>
      <c r="BA194" s="10">
        <v>0</v>
      </c>
      <c r="BB194" s="10">
        <v>0</v>
      </c>
      <c r="BC194" s="10">
        <v>0</v>
      </c>
      <c r="BD194" s="10">
        <v>0</v>
      </c>
      <c r="BE194" s="10">
        <v>0</v>
      </c>
      <c r="BF194" s="10">
        <v>0</v>
      </c>
      <c r="BG194" s="10">
        <v>0</v>
      </c>
      <c r="BH194" s="10">
        <v>0</v>
      </c>
      <c r="BI194" s="10">
        <v>0</v>
      </c>
      <c r="BJ194" s="10">
        <v>0</v>
      </c>
      <c r="BK194" s="10">
        <v>0</v>
      </c>
      <c r="BL194" s="10">
        <v>41568.462206806442</v>
      </c>
      <c r="BM194" s="10">
        <v>0</v>
      </c>
      <c r="BN194" s="10">
        <v>0</v>
      </c>
      <c r="BO194" s="10">
        <v>0</v>
      </c>
      <c r="BP194" s="12">
        <v>41568.462206806442</v>
      </c>
      <c r="BQ194" s="12">
        <v>41568.462206806442</v>
      </c>
      <c r="BR194" s="12">
        <v>41568.462206806442</v>
      </c>
      <c r="BS194" s="12">
        <v>41568.462206806442</v>
      </c>
      <c r="BT194" s="12">
        <v>41568.462206806442</v>
      </c>
      <c r="BU194" s="12">
        <f t="shared" si="3"/>
        <v>207842.3110340322</v>
      </c>
    </row>
    <row r="195" spans="1:73" x14ac:dyDescent="0.25">
      <c r="A195" s="6" t="s">
        <v>30</v>
      </c>
      <c r="B195" s="6" t="s">
        <v>18</v>
      </c>
      <c r="C195" s="18" t="s">
        <v>240</v>
      </c>
      <c r="D195" s="7" t="s">
        <v>241</v>
      </c>
      <c r="E195" s="7" t="s">
        <v>21</v>
      </c>
      <c r="F195" s="7" t="s">
        <v>242</v>
      </c>
      <c r="G195" s="7" t="s">
        <v>23</v>
      </c>
      <c r="H195" s="7" t="s">
        <v>249</v>
      </c>
      <c r="I195" s="6" t="s">
        <v>248</v>
      </c>
      <c r="J195" s="7" t="s">
        <v>244</v>
      </c>
      <c r="K195" s="6" t="s">
        <v>245</v>
      </c>
      <c r="L195" s="9">
        <v>17000</v>
      </c>
      <c r="M195" s="10">
        <v>0</v>
      </c>
      <c r="N195" s="6" t="s">
        <v>291</v>
      </c>
      <c r="O195" s="11">
        <v>0</v>
      </c>
      <c r="P195" s="11"/>
      <c r="Q195" s="11"/>
      <c r="R195" s="11"/>
      <c r="S195" s="11"/>
      <c r="T195" s="11"/>
      <c r="U195" s="11"/>
      <c r="V195" s="11"/>
      <c r="W195" s="11">
        <v>1</v>
      </c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>
        <v>1</v>
      </c>
      <c r="AJ195" s="11"/>
      <c r="AK195" s="11"/>
      <c r="AL195" s="11"/>
      <c r="AM195" s="10">
        <v>1</v>
      </c>
      <c r="AN195" s="10">
        <v>1</v>
      </c>
      <c r="AO195" s="11">
        <v>1</v>
      </c>
      <c r="AP195" s="11">
        <v>1</v>
      </c>
      <c r="AQ195" s="11">
        <v>1</v>
      </c>
      <c r="AR195" s="10">
        <v>0</v>
      </c>
      <c r="AS195" s="10">
        <v>0</v>
      </c>
      <c r="AT195" s="10">
        <v>0</v>
      </c>
      <c r="AU195" s="10">
        <v>0</v>
      </c>
      <c r="AV195" s="10">
        <v>0</v>
      </c>
      <c r="AW195" s="10">
        <v>0</v>
      </c>
      <c r="AX195" s="10">
        <v>0</v>
      </c>
      <c r="AY195" s="10">
        <v>0</v>
      </c>
      <c r="AZ195" s="10">
        <v>16825.329940850228</v>
      </c>
      <c r="BA195" s="10">
        <v>0</v>
      </c>
      <c r="BB195" s="10">
        <v>0</v>
      </c>
      <c r="BC195" s="10">
        <v>0</v>
      </c>
      <c r="BD195" s="10">
        <v>0</v>
      </c>
      <c r="BE195" s="10">
        <v>0</v>
      </c>
      <c r="BF195" s="10">
        <v>0</v>
      </c>
      <c r="BG195" s="10">
        <v>0</v>
      </c>
      <c r="BH195" s="10">
        <v>0</v>
      </c>
      <c r="BI195" s="10">
        <v>0</v>
      </c>
      <c r="BJ195" s="10">
        <v>0</v>
      </c>
      <c r="BK195" s="10">
        <v>0</v>
      </c>
      <c r="BL195" s="10">
        <v>16825.329940850228</v>
      </c>
      <c r="BM195" s="10">
        <v>0</v>
      </c>
      <c r="BN195" s="10">
        <v>0</v>
      </c>
      <c r="BO195" s="10">
        <v>0</v>
      </c>
      <c r="BP195" s="12">
        <v>16825.329940850228</v>
      </c>
      <c r="BQ195" s="12">
        <v>16825.329940850228</v>
      </c>
      <c r="BR195" s="12">
        <v>16825.329940850228</v>
      </c>
      <c r="BS195" s="12">
        <v>16825.329940850228</v>
      </c>
      <c r="BT195" s="12">
        <v>16825.329940850228</v>
      </c>
      <c r="BU195" s="12">
        <f t="shared" si="3"/>
        <v>84126.649704251147</v>
      </c>
    </row>
    <row r="196" spans="1:73" x14ac:dyDescent="0.25">
      <c r="A196" s="6" t="s">
        <v>30</v>
      </c>
      <c r="B196" s="6" t="s">
        <v>18</v>
      </c>
      <c r="C196" s="18" t="s">
        <v>240</v>
      </c>
      <c r="D196" s="7" t="s">
        <v>241</v>
      </c>
      <c r="E196" s="7" t="s">
        <v>21</v>
      </c>
      <c r="F196" s="7" t="s">
        <v>242</v>
      </c>
      <c r="G196" s="7" t="s">
        <v>23</v>
      </c>
      <c r="H196" s="7" t="s">
        <v>249</v>
      </c>
      <c r="I196" s="6" t="s">
        <v>76</v>
      </c>
      <c r="J196" s="7" t="s">
        <v>244</v>
      </c>
      <c r="K196" s="6" t="s">
        <v>245</v>
      </c>
      <c r="L196" s="9">
        <v>24000</v>
      </c>
      <c r="M196" s="10">
        <v>0</v>
      </c>
      <c r="N196" s="6" t="s">
        <v>291</v>
      </c>
      <c r="O196" s="11">
        <v>0</v>
      </c>
      <c r="P196" s="11"/>
      <c r="Q196" s="11"/>
      <c r="R196" s="11"/>
      <c r="S196" s="11"/>
      <c r="T196" s="11"/>
      <c r="U196" s="11"/>
      <c r="V196" s="11"/>
      <c r="W196" s="11">
        <v>1</v>
      </c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>
        <v>1</v>
      </c>
      <c r="AJ196" s="11"/>
      <c r="AK196" s="11"/>
      <c r="AL196" s="11"/>
      <c r="AM196" s="10">
        <v>1</v>
      </c>
      <c r="AN196" s="10">
        <v>1</v>
      </c>
      <c r="AO196" s="11">
        <v>1</v>
      </c>
      <c r="AP196" s="11">
        <v>1</v>
      </c>
      <c r="AQ196" s="11">
        <v>1</v>
      </c>
      <c r="AR196" s="10">
        <v>0</v>
      </c>
      <c r="AS196" s="10">
        <v>0</v>
      </c>
      <c r="AT196" s="10">
        <v>0</v>
      </c>
      <c r="AU196" s="10">
        <v>0</v>
      </c>
      <c r="AV196" s="10">
        <v>0</v>
      </c>
      <c r="AW196" s="10">
        <v>0</v>
      </c>
      <c r="AX196" s="10">
        <v>0</v>
      </c>
      <c r="AY196" s="10">
        <v>0</v>
      </c>
      <c r="AZ196" s="10">
        <v>23753.406975317968</v>
      </c>
      <c r="BA196" s="10">
        <v>0</v>
      </c>
      <c r="BB196" s="10">
        <v>0</v>
      </c>
      <c r="BC196" s="10">
        <v>0</v>
      </c>
      <c r="BD196" s="10">
        <v>0</v>
      </c>
      <c r="BE196" s="10">
        <v>0</v>
      </c>
      <c r="BF196" s="10">
        <v>0</v>
      </c>
      <c r="BG196" s="10">
        <v>0</v>
      </c>
      <c r="BH196" s="10">
        <v>0</v>
      </c>
      <c r="BI196" s="10">
        <v>0</v>
      </c>
      <c r="BJ196" s="10">
        <v>0</v>
      </c>
      <c r="BK196" s="10">
        <v>0</v>
      </c>
      <c r="BL196" s="10">
        <v>23753.406975317968</v>
      </c>
      <c r="BM196" s="10">
        <v>0</v>
      </c>
      <c r="BN196" s="10">
        <v>0</v>
      </c>
      <c r="BO196" s="10">
        <v>0</v>
      </c>
      <c r="BP196" s="12">
        <v>23753.406975317968</v>
      </c>
      <c r="BQ196" s="12">
        <v>23753.406975317968</v>
      </c>
      <c r="BR196" s="12">
        <v>23753.406975317968</v>
      </c>
      <c r="BS196" s="12">
        <v>23753.406975317968</v>
      </c>
      <c r="BT196" s="12">
        <v>23753.406975317968</v>
      </c>
      <c r="BU196" s="12">
        <f t="shared" si="3"/>
        <v>118767.03487658984</v>
      </c>
    </row>
    <row r="197" spans="1:73" x14ac:dyDescent="0.25">
      <c r="A197" s="6" t="s">
        <v>32</v>
      </c>
      <c r="B197" s="6" t="s">
        <v>18</v>
      </c>
      <c r="C197" s="18" t="s">
        <v>240</v>
      </c>
      <c r="D197" s="7" t="s">
        <v>241</v>
      </c>
      <c r="E197" s="7" t="s">
        <v>21</v>
      </c>
      <c r="F197" s="7" t="s">
        <v>242</v>
      </c>
      <c r="G197" s="7" t="s">
        <v>23</v>
      </c>
      <c r="H197" s="7" t="s">
        <v>250</v>
      </c>
      <c r="I197" s="6" t="s">
        <v>248</v>
      </c>
      <c r="J197" s="7" t="s">
        <v>244</v>
      </c>
      <c r="K197" s="6" t="s">
        <v>245</v>
      </c>
      <c r="L197" s="9">
        <v>17000</v>
      </c>
      <c r="M197" s="10">
        <v>0</v>
      </c>
      <c r="N197" s="6" t="s">
        <v>291</v>
      </c>
      <c r="O197" s="11">
        <v>0</v>
      </c>
      <c r="P197" s="11"/>
      <c r="Q197" s="11"/>
      <c r="R197" s="11"/>
      <c r="S197" s="11"/>
      <c r="T197" s="11"/>
      <c r="U197" s="11"/>
      <c r="V197" s="11"/>
      <c r="W197" s="11">
        <v>1</v>
      </c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>
        <v>1</v>
      </c>
      <c r="AJ197" s="11"/>
      <c r="AK197" s="11"/>
      <c r="AL197" s="11"/>
      <c r="AM197" s="10">
        <v>1</v>
      </c>
      <c r="AN197" s="10">
        <v>1</v>
      </c>
      <c r="AO197" s="11">
        <v>1</v>
      </c>
      <c r="AP197" s="11">
        <v>1</v>
      </c>
      <c r="AQ197" s="11">
        <v>1</v>
      </c>
      <c r="AR197" s="10">
        <v>0</v>
      </c>
      <c r="AS197" s="10">
        <v>0</v>
      </c>
      <c r="AT197" s="10">
        <v>0</v>
      </c>
      <c r="AU197" s="10">
        <v>0</v>
      </c>
      <c r="AV197" s="10">
        <v>0</v>
      </c>
      <c r="AW197" s="10">
        <v>0</v>
      </c>
      <c r="AX197" s="10">
        <v>0</v>
      </c>
      <c r="AY197" s="10">
        <v>0</v>
      </c>
      <c r="AZ197" s="10">
        <v>16825.329940850228</v>
      </c>
      <c r="BA197" s="10">
        <v>0</v>
      </c>
      <c r="BB197" s="10">
        <v>0</v>
      </c>
      <c r="BC197" s="10">
        <v>0</v>
      </c>
      <c r="BD197" s="10">
        <v>0</v>
      </c>
      <c r="BE197" s="10">
        <v>0</v>
      </c>
      <c r="BF197" s="10">
        <v>0</v>
      </c>
      <c r="BG197" s="10">
        <v>0</v>
      </c>
      <c r="BH197" s="10">
        <v>0</v>
      </c>
      <c r="BI197" s="10">
        <v>0</v>
      </c>
      <c r="BJ197" s="10">
        <v>0</v>
      </c>
      <c r="BK197" s="10">
        <v>0</v>
      </c>
      <c r="BL197" s="10">
        <v>16825.329940850228</v>
      </c>
      <c r="BM197" s="10">
        <v>0</v>
      </c>
      <c r="BN197" s="10">
        <v>0</v>
      </c>
      <c r="BO197" s="10">
        <v>0</v>
      </c>
      <c r="BP197" s="12">
        <v>16825.329940850228</v>
      </c>
      <c r="BQ197" s="12">
        <v>16825.329940850228</v>
      </c>
      <c r="BR197" s="12">
        <v>16825.329940850228</v>
      </c>
      <c r="BS197" s="12">
        <v>16825.329940850228</v>
      </c>
      <c r="BT197" s="12">
        <v>16825.329940850228</v>
      </c>
      <c r="BU197" s="12">
        <f t="shared" ref="BU197:BU241" si="4">SUM(BP197:BT197)</f>
        <v>84126.649704251147</v>
      </c>
    </row>
    <row r="198" spans="1:73" x14ac:dyDescent="0.25">
      <c r="A198" s="6" t="s">
        <v>32</v>
      </c>
      <c r="B198" s="6" t="s">
        <v>18</v>
      </c>
      <c r="C198" s="18" t="s">
        <v>240</v>
      </c>
      <c r="D198" s="7" t="s">
        <v>241</v>
      </c>
      <c r="E198" s="7" t="s">
        <v>21</v>
      </c>
      <c r="F198" s="7" t="s">
        <v>242</v>
      </c>
      <c r="G198" s="7" t="s">
        <v>23</v>
      </c>
      <c r="H198" s="7" t="s">
        <v>250</v>
      </c>
      <c r="I198" s="6" t="s">
        <v>76</v>
      </c>
      <c r="J198" s="7" t="s">
        <v>244</v>
      </c>
      <c r="K198" s="6" t="s">
        <v>245</v>
      </c>
      <c r="L198" s="9">
        <v>6000</v>
      </c>
      <c r="M198" s="10">
        <v>0</v>
      </c>
      <c r="N198" s="6" t="s">
        <v>291</v>
      </c>
      <c r="O198" s="11">
        <v>0</v>
      </c>
      <c r="P198" s="11"/>
      <c r="Q198" s="11"/>
      <c r="R198" s="11"/>
      <c r="S198" s="11"/>
      <c r="T198" s="11"/>
      <c r="U198" s="11"/>
      <c r="V198" s="11"/>
      <c r="W198" s="11">
        <v>1</v>
      </c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>
        <v>1</v>
      </c>
      <c r="AJ198" s="11"/>
      <c r="AK198" s="11"/>
      <c r="AL198" s="11"/>
      <c r="AM198" s="10">
        <v>1</v>
      </c>
      <c r="AN198" s="10">
        <v>1</v>
      </c>
      <c r="AO198" s="11">
        <v>1</v>
      </c>
      <c r="AP198" s="11">
        <v>1</v>
      </c>
      <c r="AQ198" s="11">
        <v>1</v>
      </c>
      <c r="AR198" s="10">
        <v>0</v>
      </c>
      <c r="AS198" s="10">
        <v>0</v>
      </c>
      <c r="AT198" s="10">
        <v>0</v>
      </c>
      <c r="AU198" s="10">
        <v>0</v>
      </c>
      <c r="AV198" s="10">
        <v>0</v>
      </c>
      <c r="AW198" s="10">
        <v>0</v>
      </c>
      <c r="AX198" s="10">
        <v>0</v>
      </c>
      <c r="AY198" s="10">
        <v>0</v>
      </c>
      <c r="AZ198" s="10">
        <v>5938.3517438294921</v>
      </c>
      <c r="BA198" s="10">
        <v>0</v>
      </c>
      <c r="BB198" s="10">
        <v>0</v>
      </c>
      <c r="BC198" s="10">
        <v>0</v>
      </c>
      <c r="BD198" s="10">
        <v>0</v>
      </c>
      <c r="BE198" s="10">
        <v>0</v>
      </c>
      <c r="BF198" s="10">
        <v>0</v>
      </c>
      <c r="BG198" s="10">
        <v>0</v>
      </c>
      <c r="BH198" s="10">
        <v>0</v>
      </c>
      <c r="BI198" s="10">
        <v>0</v>
      </c>
      <c r="BJ198" s="10">
        <v>0</v>
      </c>
      <c r="BK198" s="10">
        <v>0</v>
      </c>
      <c r="BL198" s="10">
        <v>5938.3517438294921</v>
      </c>
      <c r="BM198" s="10">
        <v>0</v>
      </c>
      <c r="BN198" s="10">
        <v>0</v>
      </c>
      <c r="BO198" s="10">
        <v>0</v>
      </c>
      <c r="BP198" s="12">
        <v>5938.3517438294921</v>
      </c>
      <c r="BQ198" s="12">
        <v>5938.3517438294921</v>
      </c>
      <c r="BR198" s="12">
        <v>5938.3517438294921</v>
      </c>
      <c r="BS198" s="12">
        <v>5938.3517438294921</v>
      </c>
      <c r="BT198" s="12">
        <v>5938.3517438294921</v>
      </c>
      <c r="BU198" s="12">
        <f t="shared" si="4"/>
        <v>29691.758719147459</v>
      </c>
    </row>
    <row r="199" spans="1:73" x14ac:dyDescent="0.25">
      <c r="A199" s="6" t="s">
        <v>34</v>
      </c>
      <c r="B199" s="6" t="s">
        <v>18</v>
      </c>
      <c r="C199" s="18" t="s">
        <v>240</v>
      </c>
      <c r="D199" s="7" t="s">
        <v>241</v>
      </c>
      <c r="E199" s="7" t="s">
        <v>21</v>
      </c>
      <c r="F199" s="7" t="s">
        <v>242</v>
      </c>
      <c r="G199" s="7" t="s">
        <v>23</v>
      </c>
      <c r="H199" s="7" t="s">
        <v>251</v>
      </c>
      <c r="I199" s="6" t="s">
        <v>248</v>
      </c>
      <c r="J199" s="7" t="s">
        <v>244</v>
      </c>
      <c r="K199" s="6" t="s">
        <v>245</v>
      </c>
      <c r="L199" s="9">
        <v>17000</v>
      </c>
      <c r="M199" s="10">
        <v>0</v>
      </c>
      <c r="N199" s="6" t="s">
        <v>291</v>
      </c>
      <c r="O199" s="11">
        <v>0</v>
      </c>
      <c r="P199" s="11"/>
      <c r="Q199" s="11"/>
      <c r="R199" s="11"/>
      <c r="S199" s="11"/>
      <c r="T199" s="11"/>
      <c r="U199" s="11"/>
      <c r="V199" s="11"/>
      <c r="W199" s="11">
        <v>1</v>
      </c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>
        <v>1</v>
      </c>
      <c r="AJ199" s="11"/>
      <c r="AK199" s="11"/>
      <c r="AL199" s="11"/>
      <c r="AM199" s="10">
        <v>1</v>
      </c>
      <c r="AN199" s="10">
        <v>1</v>
      </c>
      <c r="AO199" s="11">
        <v>1</v>
      </c>
      <c r="AP199" s="11">
        <v>1</v>
      </c>
      <c r="AQ199" s="11">
        <v>1</v>
      </c>
      <c r="AR199" s="10">
        <v>0</v>
      </c>
      <c r="AS199" s="10">
        <v>0</v>
      </c>
      <c r="AT199" s="10">
        <v>0</v>
      </c>
      <c r="AU199" s="10">
        <v>0</v>
      </c>
      <c r="AV199" s="10">
        <v>0</v>
      </c>
      <c r="AW199" s="10">
        <v>0</v>
      </c>
      <c r="AX199" s="10">
        <v>0</v>
      </c>
      <c r="AY199" s="10">
        <v>0</v>
      </c>
      <c r="AZ199" s="10">
        <v>16825.329940850228</v>
      </c>
      <c r="BA199" s="10">
        <v>0</v>
      </c>
      <c r="BB199" s="10">
        <v>0</v>
      </c>
      <c r="BC199" s="10">
        <v>0</v>
      </c>
      <c r="BD199" s="10">
        <v>0</v>
      </c>
      <c r="BE199" s="10">
        <v>0</v>
      </c>
      <c r="BF199" s="10">
        <v>0</v>
      </c>
      <c r="BG199" s="10">
        <v>0</v>
      </c>
      <c r="BH199" s="10">
        <v>0</v>
      </c>
      <c r="BI199" s="10">
        <v>0</v>
      </c>
      <c r="BJ199" s="10">
        <v>0</v>
      </c>
      <c r="BK199" s="10">
        <v>0</v>
      </c>
      <c r="BL199" s="10">
        <v>16825.329940850228</v>
      </c>
      <c r="BM199" s="10">
        <v>0</v>
      </c>
      <c r="BN199" s="10">
        <v>0</v>
      </c>
      <c r="BO199" s="10">
        <v>0</v>
      </c>
      <c r="BP199" s="12">
        <v>16825.329940850228</v>
      </c>
      <c r="BQ199" s="12">
        <v>16825.329940850228</v>
      </c>
      <c r="BR199" s="12">
        <v>16825.329940850228</v>
      </c>
      <c r="BS199" s="12">
        <v>16825.329940850228</v>
      </c>
      <c r="BT199" s="12">
        <v>16825.329940850228</v>
      </c>
      <c r="BU199" s="12">
        <f t="shared" si="4"/>
        <v>84126.649704251147</v>
      </c>
    </row>
    <row r="200" spans="1:73" x14ac:dyDescent="0.25">
      <c r="A200" s="6" t="s">
        <v>34</v>
      </c>
      <c r="B200" s="6" t="s">
        <v>18</v>
      </c>
      <c r="C200" s="18" t="s">
        <v>240</v>
      </c>
      <c r="D200" s="7" t="s">
        <v>241</v>
      </c>
      <c r="E200" s="7" t="s">
        <v>21</v>
      </c>
      <c r="F200" s="7" t="s">
        <v>242</v>
      </c>
      <c r="G200" s="7" t="s">
        <v>23</v>
      </c>
      <c r="H200" s="7" t="s">
        <v>251</v>
      </c>
      <c r="I200" s="6" t="s">
        <v>76</v>
      </c>
      <c r="J200" s="7" t="s">
        <v>244</v>
      </c>
      <c r="K200" s="6" t="s">
        <v>245</v>
      </c>
      <c r="L200" s="9">
        <v>28000.000000000004</v>
      </c>
      <c r="M200" s="10">
        <v>0</v>
      </c>
      <c r="N200" s="6" t="s">
        <v>291</v>
      </c>
      <c r="O200" s="11">
        <v>0</v>
      </c>
      <c r="P200" s="11"/>
      <c r="Q200" s="11"/>
      <c r="R200" s="11"/>
      <c r="S200" s="11"/>
      <c r="T200" s="11"/>
      <c r="U200" s="11"/>
      <c r="V200" s="11"/>
      <c r="W200" s="11">
        <v>1</v>
      </c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>
        <v>1</v>
      </c>
      <c r="AJ200" s="11"/>
      <c r="AK200" s="11"/>
      <c r="AL200" s="11"/>
      <c r="AM200" s="10">
        <v>1</v>
      </c>
      <c r="AN200" s="10">
        <v>1</v>
      </c>
      <c r="AO200" s="11">
        <v>1</v>
      </c>
      <c r="AP200" s="11">
        <v>1</v>
      </c>
      <c r="AQ200" s="11">
        <v>1</v>
      </c>
      <c r="AR200" s="10">
        <v>0</v>
      </c>
      <c r="AS200" s="10">
        <v>0</v>
      </c>
      <c r="AT200" s="10">
        <v>0</v>
      </c>
      <c r="AU200" s="10">
        <v>0</v>
      </c>
      <c r="AV200" s="10">
        <v>0</v>
      </c>
      <c r="AW200" s="10">
        <v>0</v>
      </c>
      <c r="AX200" s="10">
        <v>0</v>
      </c>
      <c r="AY200" s="10">
        <v>0</v>
      </c>
      <c r="AZ200" s="10">
        <v>27712.308137870965</v>
      </c>
      <c r="BA200" s="10">
        <v>0</v>
      </c>
      <c r="BB200" s="10">
        <v>0</v>
      </c>
      <c r="BC200" s="10">
        <v>0</v>
      </c>
      <c r="BD200" s="10">
        <v>0</v>
      </c>
      <c r="BE200" s="10">
        <v>0</v>
      </c>
      <c r="BF200" s="10">
        <v>0</v>
      </c>
      <c r="BG200" s="10">
        <v>0</v>
      </c>
      <c r="BH200" s="10">
        <v>0</v>
      </c>
      <c r="BI200" s="10">
        <v>0</v>
      </c>
      <c r="BJ200" s="10">
        <v>0</v>
      </c>
      <c r="BK200" s="10">
        <v>0</v>
      </c>
      <c r="BL200" s="10">
        <v>27712.308137870965</v>
      </c>
      <c r="BM200" s="10">
        <v>0</v>
      </c>
      <c r="BN200" s="10">
        <v>0</v>
      </c>
      <c r="BO200" s="10">
        <v>0</v>
      </c>
      <c r="BP200" s="12">
        <v>27712.308137870965</v>
      </c>
      <c r="BQ200" s="12">
        <v>27712.308137870965</v>
      </c>
      <c r="BR200" s="12">
        <v>27712.308137870965</v>
      </c>
      <c r="BS200" s="12">
        <v>27712.308137870965</v>
      </c>
      <c r="BT200" s="12">
        <v>27712.308137870965</v>
      </c>
      <c r="BU200" s="12">
        <f t="shared" si="4"/>
        <v>138561.54068935482</v>
      </c>
    </row>
    <row r="201" spans="1:73" x14ac:dyDescent="0.25">
      <c r="A201" s="6" t="s">
        <v>28</v>
      </c>
      <c r="B201" s="6" t="s">
        <v>18</v>
      </c>
      <c r="C201" s="18" t="s">
        <v>240</v>
      </c>
      <c r="D201" s="7" t="s">
        <v>241</v>
      </c>
      <c r="E201" s="7" t="s">
        <v>21</v>
      </c>
      <c r="F201" s="7" t="s">
        <v>242</v>
      </c>
      <c r="G201" s="7" t="s">
        <v>23</v>
      </c>
      <c r="H201" s="7" t="s">
        <v>247</v>
      </c>
      <c r="I201" s="6" t="s">
        <v>248</v>
      </c>
      <c r="J201" s="7" t="s">
        <v>244</v>
      </c>
      <c r="K201" s="6" t="s">
        <v>245</v>
      </c>
      <c r="L201" s="9">
        <v>74166.67</v>
      </c>
      <c r="M201" s="10">
        <v>0</v>
      </c>
      <c r="N201" s="6" t="s">
        <v>292</v>
      </c>
      <c r="O201" s="11">
        <v>0</v>
      </c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>
        <v>1</v>
      </c>
      <c r="AJ201" s="11"/>
      <c r="AK201" s="11"/>
      <c r="AL201" s="11"/>
      <c r="AM201" s="10">
        <v>0</v>
      </c>
      <c r="AN201" s="10">
        <v>1</v>
      </c>
      <c r="AO201" s="11">
        <v>1</v>
      </c>
      <c r="AP201" s="11">
        <v>1</v>
      </c>
      <c r="AQ201" s="11">
        <v>1</v>
      </c>
      <c r="AR201" s="10">
        <v>0</v>
      </c>
      <c r="AS201" s="10">
        <v>0</v>
      </c>
      <c r="AT201" s="10">
        <v>0</v>
      </c>
      <c r="AU201" s="10">
        <v>0</v>
      </c>
      <c r="AV201" s="10">
        <v>0</v>
      </c>
      <c r="AW201" s="10">
        <v>0</v>
      </c>
      <c r="AX201" s="10">
        <v>0</v>
      </c>
      <c r="AY201" s="10">
        <v>0</v>
      </c>
      <c r="AZ201" s="10">
        <v>0</v>
      </c>
      <c r="BA201" s="10">
        <v>0</v>
      </c>
      <c r="BB201" s="10">
        <v>0</v>
      </c>
      <c r="BC201" s="10">
        <v>0</v>
      </c>
      <c r="BD201" s="10">
        <v>0</v>
      </c>
      <c r="BE201" s="10">
        <v>0</v>
      </c>
      <c r="BF201" s="10">
        <v>0</v>
      </c>
      <c r="BG201" s="10">
        <v>0</v>
      </c>
      <c r="BH201" s="10">
        <v>0</v>
      </c>
      <c r="BI201" s="10">
        <v>0</v>
      </c>
      <c r="BJ201" s="10">
        <v>0</v>
      </c>
      <c r="BK201" s="10">
        <v>0</v>
      </c>
      <c r="BL201" s="10">
        <v>73404.629021421075</v>
      </c>
      <c r="BM201" s="10">
        <v>0</v>
      </c>
      <c r="BN201" s="10">
        <v>0</v>
      </c>
      <c r="BO201" s="10">
        <v>0</v>
      </c>
      <c r="BP201" s="12">
        <v>0</v>
      </c>
      <c r="BQ201" s="12">
        <v>73404.629021421075</v>
      </c>
      <c r="BR201" s="12">
        <v>73404.629021421075</v>
      </c>
      <c r="BS201" s="12">
        <v>73404.629021421075</v>
      </c>
      <c r="BT201" s="12">
        <v>73404.629021421075</v>
      </c>
      <c r="BU201" s="12">
        <f t="shared" si="4"/>
        <v>293618.5160856843</v>
      </c>
    </row>
    <row r="202" spans="1:73" x14ac:dyDescent="0.25">
      <c r="A202" s="6" t="s">
        <v>30</v>
      </c>
      <c r="B202" s="6" t="s">
        <v>18</v>
      </c>
      <c r="C202" s="18" t="s">
        <v>240</v>
      </c>
      <c r="D202" s="7" t="s">
        <v>241</v>
      </c>
      <c r="E202" s="7" t="s">
        <v>21</v>
      </c>
      <c r="F202" s="7" t="s">
        <v>242</v>
      </c>
      <c r="G202" s="7" t="s">
        <v>23</v>
      </c>
      <c r="H202" s="7" t="s">
        <v>249</v>
      </c>
      <c r="I202" s="6" t="s">
        <v>248</v>
      </c>
      <c r="J202" s="7" t="s">
        <v>244</v>
      </c>
      <c r="K202" s="6" t="s">
        <v>245</v>
      </c>
      <c r="L202" s="9">
        <v>74166.67</v>
      </c>
      <c r="M202" s="10">
        <v>0</v>
      </c>
      <c r="N202" s="6" t="s">
        <v>292</v>
      </c>
      <c r="O202" s="11">
        <v>0</v>
      </c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>
        <v>1</v>
      </c>
      <c r="AJ202" s="11"/>
      <c r="AK202" s="11"/>
      <c r="AL202" s="11"/>
      <c r="AM202" s="10">
        <v>0</v>
      </c>
      <c r="AN202" s="10">
        <v>1</v>
      </c>
      <c r="AO202" s="11">
        <v>1</v>
      </c>
      <c r="AP202" s="11">
        <v>1</v>
      </c>
      <c r="AQ202" s="11">
        <v>1</v>
      </c>
      <c r="AR202" s="10">
        <v>0</v>
      </c>
      <c r="AS202" s="10">
        <v>0</v>
      </c>
      <c r="AT202" s="10">
        <v>0</v>
      </c>
      <c r="AU202" s="10">
        <v>0</v>
      </c>
      <c r="AV202" s="10">
        <v>0</v>
      </c>
      <c r="AW202" s="10">
        <v>0</v>
      </c>
      <c r="AX202" s="10">
        <v>0</v>
      </c>
      <c r="AY202" s="10">
        <v>0</v>
      </c>
      <c r="AZ202" s="10">
        <v>0</v>
      </c>
      <c r="BA202" s="10">
        <v>0</v>
      </c>
      <c r="BB202" s="10">
        <v>0</v>
      </c>
      <c r="BC202" s="10">
        <v>0</v>
      </c>
      <c r="BD202" s="10">
        <v>0</v>
      </c>
      <c r="BE202" s="10">
        <v>0</v>
      </c>
      <c r="BF202" s="10">
        <v>0</v>
      </c>
      <c r="BG202" s="10">
        <v>0</v>
      </c>
      <c r="BH202" s="10">
        <v>0</v>
      </c>
      <c r="BI202" s="10">
        <v>0</v>
      </c>
      <c r="BJ202" s="10">
        <v>0</v>
      </c>
      <c r="BK202" s="10">
        <v>0</v>
      </c>
      <c r="BL202" s="10">
        <v>73404.629021421075</v>
      </c>
      <c r="BM202" s="10">
        <v>0</v>
      </c>
      <c r="BN202" s="10">
        <v>0</v>
      </c>
      <c r="BO202" s="10">
        <v>0</v>
      </c>
      <c r="BP202" s="12">
        <v>0</v>
      </c>
      <c r="BQ202" s="12">
        <v>73404.629021421075</v>
      </c>
      <c r="BR202" s="12">
        <v>73404.629021421075</v>
      </c>
      <c r="BS202" s="12">
        <v>73404.629021421075</v>
      </c>
      <c r="BT202" s="12">
        <v>73404.629021421075</v>
      </c>
      <c r="BU202" s="12">
        <f t="shared" si="4"/>
        <v>293618.5160856843</v>
      </c>
    </row>
    <row r="203" spans="1:73" x14ac:dyDescent="0.25">
      <c r="A203" s="6" t="s">
        <v>34</v>
      </c>
      <c r="B203" s="6" t="s">
        <v>18</v>
      </c>
      <c r="C203" s="18" t="s">
        <v>240</v>
      </c>
      <c r="D203" s="7" t="s">
        <v>241</v>
      </c>
      <c r="E203" s="7" t="s">
        <v>21</v>
      </c>
      <c r="F203" s="7" t="s">
        <v>242</v>
      </c>
      <c r="G203" s="7" t="s">
        <v>23</v>
      </c>
      <c r="H203" s="7" t="s">
        <v>251</v>
      </c>
      <c r="I203" s="6" t="s">
        <v>248</v>
      </c>
      <c r="J203" s="7" t="s">
        <v>244</v>
      </c>
      <c r="K203" s="6" t="s">
        <v>245</v>
      </c>
      <c r="L203" s="9">
        <v>74166.67</v>
      </c>
      <c r="M203" s="10">
        <v>0</v>
      </c>
      <c r="N203" s="6" t="s">
        <v>292</v>
      </c>
      <c r="O203" s="11">
        <v>0</v>
      </c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>
        <v>1</v>
      </c>
      <c r="AJ203" s="11"/>
      <c r="AK203" s="11"/>
      <c r="AL203" s="11"/>
      <c r="AM203" s="10">
        <v>0</v>
      </c>
      <c r="AN203" s="10">
        <v>1</v>
      </c>
      <c r="AO203" s="11">
        <v>1</v>
      </c>
      <c r="AP203" s="11">
        <v>1</v>
      </c>
      <c r="AQ203" s="11">
        <v>1</v>
      </c>
      <c r="AR203" s="10">
        <v>0</v>
      </c>
      <c r="AS203" s="10">
        <v>0</v>
      </c>
      <c r="AT203" s="10">
        <v>0</v>
      </c>
      <c r="AU203" s="10">
        <v>0</v>
      </c>
      <c r="AV203" s="10">
        <v>0</v>
      </c>
      <c r="AW203" s="10">
        <v>0</v>
      </c>
      <c r="AX203" s="10">
        <v>0</v>
      </c>
      <c r="AY203" s="10">
        <v>0</v>
      </c>
      <c r="AZ203" s="10">
        <v>0</v>
      </c>
      <c r="BA203" s="10">
        <v>0</v>
      </c>
      <c r="BB203" s="10">
        <v>0</v>
      </c>
      <c r="BC203" s="10">
        <v>0</v>
      </c>
      <c r="BD203" s="10">
        <v>0</v>
      </c>
      <c r="BE203" s="10">
        <v>0</v>
      </c>
      <c r="BF203" s="10">
        <v>0</v>
      </c>
      <c r="BG203" s="10">
        <v>0</v>
      </c>
      <c r="BH203" s="10">
        <v>0</v>
      </c>
      <c r="BI203" s="10">
        <v>0</v>
      </c>
      <c r="BJ203" s="10">
        <v>0</v>
      </c>
      <c r="BK203" s="10">
        <v>0</v>
      </c>
      <c r="BL203" s="10">
        <v>73404.629021421075</v>
      </c>
      <c r="BM203" s="10">
        <v>0</v>
      </c>
      <c r="BN203" s="10">
        <v>0</v>
      </c>
      <c r="BO203" s="10">
        <v>0</v>
      </c>
      <c r="BP203" s="12">
        <v>0</v>
      </c>
      <c r="BQ203" s="12">
        <v>73404.629021421075</v>
      </c>
      <c r="BR203" s="12">
        <v>73404.629021421075</v>
      </c>
      <c r="BS203" s="12">
        <v>73404.629021421075</v>
      </c>
      <c r="BT203" s="12">
        <v>73404.629021421075</v>
      </c>
      <c r="BU203" s="12">
        <f t="shared" si="4"/>
        <v>293618.5160856843</v>
      </c>
    </row>
    <row r="204" spans="1:73" x14ac:dyDescent="0.25">
      <c r="A204" s="6" t="s">
        <v>96</v>
      </c>
      <c r="B204" s="6" t="s">
        <v>18</v>
      </c>
      <c r="C204" s="18" t="s">
        <v>240</v>
      </c>
      <c r="D204" s="7" t="s">
        <v>241</v>
      </c>
      <c r="E204" s="7" t="s">
        <v>21</v>
      </c>
      <c r="F204" s="7" t="s">
        <v>242</v>
      </c>
      <c r="G204" s="7" t="s">
        <v>23</v>
      </c>
      <c r="H204" s="7" t="s">
        <v>262</v>
      </c>
      <c r="I204" s="6" t="s">
        <v>248</v>
      </c>
      <c r="J204" s="7" t="s">
        <v>244</v>
      </c>
      <c r="K204" s="6" t="s">
        <v>245</v>
      </c>
      <c r="L204" s="9"/>
      <c r="M204" s="10">
        <v>0</v>
      </c>
      <c r="N204" s="6" t="s">
        <v>292</v>
      </c>
      <c r="O204" s="11">
        <v>0</v>
      </c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0">
        <v>0</v>
      </c>
      <c r="AN204" s="10">
        <v>0</v>
      </c>
      <c r="AO204" s="11">
        <v>0</v>
      </c>
      <c r="AP204" s="11">
        <v>0</v>
      </c>
      <c r="AQ204" s="11">
        <v>0</v>
      </c>
      <c r="AR204" s="10">
        <v>0</v>
      </c>
      <c r="AS204" s="10">
        <v>0</v>
      </c>
      <c r="AT204" s="10">
        <v>0</v>
      </c>
      <c r="AU204" s="10">
        <v>0</v>
      </c>
      <c r="AV204" s="10">
        <v>0</v>
      </c>
      <c r="AW204" s="10">
        <v>0</v>
      </c>
      <c r="AX204" s="10">
        <v>0</v>
      </c>
      <c r="AY204" s="10">
        <v>0</v>
      </c>
      <c r="AZ204" s="10">
        <v>0</v>
      </c>
      <c r="BA204" s="10">
        <v>0</v>
      </c>
      <c r="BB204" s="10">
        <v>0</v>
      </c>
      <c r="BC204" s="10">
        <v>0</v>
      </c>
      <c r="BD204" s="10">
        <v>0</v>
      </c>
      <c r="BE204" s="10">
        <v>0</v>
      </c>
      <c r="BF204" s="10">
        <v>0</v>
      </c>
      <c r="BG204" s="10">
        <v>0</v>
      </c>
      <c r="BH204" s="10">
        <v>0</v>
      </c>
      <c r="BI204" s="10">
        <v>0</v>
      </c>
      <c r="BJ204" s="10">
        <v>0</v>
      </c>
      <c r="BK204" s="10">
        <v>0</v>
      </c>
      <c r="BL204" s="10">
        <v>0</v>
      </c>
      <c r="BM204" s="10">
        <v>0</v>
      </c>
      <c r="BN204" s="10">
        <v>0</v>
      </c>
      <c r="BO204" s="10">
        <v>0</v>
      </c>
      <c r="BP204" s="12">
        <v>0</v>
      </c>
      <c r="BQ204" s="12">
        <v>0</v>
      </c>
      <c r="BR204" s="12">
        <v>0</v>
      </c>
      <c r="BS204" s="12">
        <v>0</v>
      </c>
      <c r="BT204" s="12">
        <v>0</v>
      </c>
      <c r="BU204" s="12">
        <f t="shared" si="4"/>
        <v>0</v>
      </c>
    </row>
    <row r="205" spans="1:73" x14ac:dyDescent="0.25">
      <c r="A205" s="6" t="s">
        <v>40</v>
      </c>
      <c r="B205" s="6" t="s">
        <v>18</v>
      </c>
      <c r="C205" s="18" t="s">
        <v>240</v>
      </c>
      <c r="D205" s="7" t="s">
        <v>241</v>
      </c>
      <c r="E205" s="7" t="s">
        <v>21</v>
      </c>
      <c r="F205" s="7" t="s">
        <v>242</v>
      </c>
      <c r="G205" s="7" t="s">
        <v>23</v>
      </c>
      <c r="H205" s="7" t="s">
        <v>256</v>
      </c>
      <c r="I205" s="6" t="s">
        <v>248</v>
      </c>
      <c r="J205" s="7" t="s">
        <v>244</v>
      </c>
      <c r="K205" s="6" t="s">
        <v>245</v>
      </c>
      <c r="L205" s="9"/>
      <c r="M205" s="10">
        <v>0</v>
      </c>
      <c r="N205" s="6" t="s">
        <v>292</v>
      </c>
      <c r="O205" s="11">
        <v>0</v>
      </c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0">
        <v>0</v>
      </c>
      <c r="AN205" s="10">
        <v>0</v>
      </c>
      <c r="AO205" s="11">
        <v>0</v>
      </c>
      <c r="AP205" s="11">
        <v>0</v>
      </c>
      <c r="AQ205" s="11">
        <v>0</v>
      </c>
      <c r="AR205" s="10">
        <v>0</v>
      </c>
      <c r="AS205" s="10">
        <v>0</v>
      </c>
      <c r="AT205" s="10">
        <v>0</v>
      </c>
      <c r="AU205" s="10">
        <v>0</v>
      </c>
      <c r="AV205" s="10">
        <v>0</v>
      </c>
      <c r="AW205" s="10">
        <v>0</v>
      </c>
      <c r="AX205" s="10">
        <v>0</v>
      </c>
      <c r="AY205" s="10">
        <v>0</v>
      </c>
      <c r="AZ205" s="10">
        <v>0</v>
      </c>
      <c r="BA205" s="10">
        <v>0</v>
      </c>
      <c r="BB205" s="10">
        <v>0</v>
      </c>
      <c r="BC205" s="10">
        <v>0</v>
      </c>
      <c r="BD205" s="10">
        <v>0</v>
      </c>
      <c r="BE205" s="10">
        <v>0</v>
      </c>
      <c r="BF205" s="10">
        <v>0</v>
      </c>
      <c r="BG205" s="10">
        <v>0</v>
      </c>
      <c r="BH205" s="10">
        <v>0</v>
      </c>
      <c r="BI205" s="10">
        <v>0</v>
      </c>
      <c r="BJ205" s="10">
        <v>0</v>
      </c>
      <c r="BK205" s="10">
        <v>0</v>
      </c>
      <c r="BL205" s="10">
        <v>0</v>
      </c>
      <c r="BM205" s="10">
        <v>0</v>
      </c>
      <c r="BN205" s="10">
        <v>0</v>
      </c>
      <c r="BO205" s="10">
        <v>0</v>
      </c>
      <c r="BP205" s="12">
        <v>0</v>
      </c>
      <c r="BQ205" s="12">
        <v>0</v>
      </c>
      <c r="BR205" s="12">
        <v>0</v>
      </c>
      <c r="BS205" s="12">
        <v>0</v>
      </c>
      <c r="BT205" s="12">
        <v>0</v>
      </c>
      <c r="BU205" s="12">
        <f t="shared" si="4"/>
        <v>0</v>
      </c>
    </row>
    <row r="206" spans="1:73" x14ac:dyDescent="0.25">
      <c r="A206" s="6" t="s">
        <v>17</v>
      </c>
      <c r="B206" s="6" t="s">
        <v>18</v>
      </c>
      <c r="C206" s="18" t="s">
        <v>240</v>
      </c>
      <c r="D206" s="7" t="s">
        <v>241</v>
      </c>
      <c r="E206" s="7" t="s">
        <v>21</v>
      </c>
      <c r="F206" s="7" t="s">
        <v>242</v>
      </c>
      <c r="G206" s="7" t="s">
        <v>23</v>
      </c>
      <c r="H206" s="7" t="s">
        <v>254</v>
      </c>
      <c r="I206" s="6" t="s">
        <v>248</v>
      </c>
      <c r="J206" s="7" t="s">
        <v>244</v>
      </c>
      <c r="K206" s="6" t="s">
        <v>245</v>
      </c>
      <c r="L206" s="9"/>
      <c r="M206" s="10">
        <v>0</v>
      </c>
      <c r="N206" s="6" t="s">
        <v>293</v>
      </c>
      <c r="O206" s="11">
        <v>0</v>
      </c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0">
        <v>0</v>
      </c>
      <c r="AN206" s="10">
        <v>0</v>
      </c>
      <c r="AO206" s="11">
        <v>0</v>
      </c>
      <c r="AP206" s="11">
        <v>0</v>
      </c>
      <c r="AQ206" s="11">
        <v>0</v>
      </c>
      <c r="AR206" s="10">
        <v>0</v>
      </c>
      <c r="AS206" s="10">
        <v>0</v>
      </c>
      <c r="AT206" s="10">
        <v>0</v>
      </c>
      <c r="AU206" s="10">
        <v>0</v>
      </c>
      <c r="AV206" s="10">
        <v>0</v>
      </c>
      <c r="AW206" s="10">
        <v>0</v>
      </c>
      <c r="AX206" s="10">
        <v>0</v>
      </c>
      <c r="AY206" s="10">
        <v>0</v>
      </c>
      <c r="AZ206" s="10">
        <v>0</v>
      </c>
      <c r="BA206" s="10">
        <v>0</v>
      </c>
      <c r="BB206" s="10">
        <v>0</v>
      </c>
      <c r="BC206" s="10">
        <v>0</v>
      </c>
      <c r="BD206" s="10">
        <v>0</v>
      </c>
      <c r="BE206" s="10">
        <v>0</v>
      </c>
      <c r="BF206" s="10">
        <v>0</v>
      </c>
      <c r="BG206" s="10">
        <v>0</v>
      </c>
      <c r="BH206" s="10">
        <v>0</v>
      </c>
      <c r="BI206" s="10">
        <v>0</v>
      </c>
      <c r="BJ206" s="10">
        <v>0</v>
      </c>
      <c r="BK206" s="10">
        <v>0</v>
      </c>
      <c r="BL206" s="10">
        <v>0</v>
      </c>
      <c r="BM206" s="10">
        <v>0</v>
      </c>
      <c r="BN206" s="10">
        <v>0</v>
      </c>
      <c r="BO206" s="10">
        <v>0</v>
      </c>
      <c r="BP206" s="12">
        <v>0</v>
      </c>
      <c r="BQ206" s="12">
        <v>0</v>
      </c>
      <c r="BR206" s="12">
        <v>0</v>
      </c>
      <c r="BS206" s="12">
        <v>0</v>
      </c>
      <c r="BT206" s="12">
        <v>0</v>
      </c>
      <c r="BU206" s="12">
        <f t="shared" si="4"/>
        <v>0</v>
      </c>
    </row>
    <row r="207" spans="1:73" x14ac:dyDescent="0.25">
      <c r="A207" s="6" t="s">
        <v>28</v>
      </c>
      <c r="B207" s="6" t="s">
        <v>18</v>
      </c>
      <c r="C207" s="18" t="s">
        <v>240</v>
      </c>
      <c r="D207" s="7" t="s">
        <v>241</v>
      </c>
      <c r="E207" s="7" t="s">
        <v>21</v>
      </c>
      <c r="F207" s="7" t="s">
        <v>242</v>
      </c>
      <c r="G207" s="7" t="s">
        <v>23</v>
      </c>
      <c r="H207" s="7" t="s">
        <v>247</v>
      </c>
      <c r="I207" s="6" t="s">
        <v>248</v>
      </c>
      <c r="J207" s="7" t="s">
        <v>244</v>
      </c>
      <c r="K207" s="6" t="s">
        <v>245</v>
      </c>
      <c r="L207" s="9">
        <v>27000</v>
      </c>
      <c r="M207" s="10">
        <v>0</v>
      </c>
      <c r="N207" s="6" t="s">
        <v>293</v>
      </c>
      <c r="O207" s="11">
        <v>0</v>
      </c>
      <c r="P207" s="11"/>
      <c r="Q207" s="11"/>
      <c r="R207" s="11"/>
      <c r="S207" s="11"/>
      <c r="T207" s="11"/>
      <c r="U207" s="11"/>
      <c r="V207" s="11"/>
      <c r="W207" s="11">
        <v>8</v>
      </c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>
        <v>8</v>
      </c>
      <c r="AJ207" s="11"/>
      <c r="AK207" s="11"/>
      <c r="AL207" s="11"/>
      <c r="AM207" s="10">
        <v>8</v>
      </c>
      <c r="AN207" s="10">
        <v>8</v>
      </c>
      <c r="AO207" s="11">
        <v>9</v>
      </c>
      <c r="AP207" s="11">
        <v>10</v>
      </c>
      <c r="AQ207" s="11">
        <v>10</v>
      </c>
      <c r="AR207" s="10">
        <v>0</v>
      </c>
      <c r="AS207" s="10">
        <v>0</v>
      </c>
      <c r="AT207" s="10">
        <v>0</v>
      </c>
      <c r="AU207" s="10">
        <v>0</v>
      </c>
      <c r="AV207" s="10">
        <v>0</v>
      </c>
      <c r="AW207" s="10">
        <v>0</v>
      </c>
      <c r="AX207" s="10">
        <v>0</v>
      </c>
      <c r="AY207" s="10">
        <v>0</v>
      </c>
      <c r="AZ207" s="10">
        <v>213780.6627778617</v>
      </c>
      <c r="BA207" s="10">
        <v>0</v>
      </c>
      <c r="BB207" s="10">
        <v>0</v>
      </c>
      <c r="BC207" s="10">
        <v>0</v>
      </c>
      <c r="BD207" s="10">
        <v>0</v>
      </c>
      <c r="BE207" s="10">
        <v>0</v>
      </c>
      <c r="BF207" s="10">
        <v>0</v>
      </c>
      <c r="BG207" s="10">
        <v>0</v>
      </c>
      <c r="BH207" s="10">
        <v>0</v>
      </c>
      <c r="BI207" s="10">
        <v>0</v>
      </c>
      <c r="BJ207" s="10">
        <v>0</v>
      </c>
      <c r="BK207" s="10">
        <v>0</v>
      </c>
      <c r="BL207" s="10">
        <v>213780.6627778617</v>
      </c>
      <c r="BM207" s="10">
        <v>0</v>
      </c>
      <c r="BN207" s="10">
        <v>0</v>
      </c>
      <c r="BO207" s="10">
        <v>0</v>
      </c>
      <c r="BP207" s="12">
        <v>213780.6627778617</v>
      </c>
      <c r="BQ207" s="12">
        <v>213780.6627778617</v>
      </c>
      <c r="BR207" s="12">
        <v>240503.24562509442</v>
      </c>
      <c r="BS207" s="12">
        <v>267225.82847232715</v>
      </c>
      <c r="BT207" s="12">
        <v>267225.82847232715</v>
      </c>
      <c r="BU207" s="12">
        <f t="shared" si="4"/>
        <v>1202516.2281254721</v>
      </c>
    </row>
    <row r="208" spans="1:73" x14ac:dyDescent="0.25">
      <c r="A208" s="6" t="s">
        <v>30</v>
      </c>
      <c r="B208" s="6" t="s">
        <v>18</v>
      </c>
      <c r="C208" s="18" t="s">
        <v>240</v>
      </c>
      <c r="D208" s="7" t="s">
        <v>241</v>
      </c>
      <c r="E208" s="7" t="s">
        <v>21</v>
      </c>
      <c r="F208" s="7" t="s">
        <v>242</v>
      </c>
      <c r="G208" s="7" t="s">
        <v>23</v>
      </c>
      <c r="H208" s="7" t="s">
        <v>249</v>
      </c>
      <c r="I208" s="6" t="s">
        <v>248</v>
      </c>
      <c r="J208" s="7" t="s">
        <v>244</v>
      </c>
      <c r="K208" s="6" t="s">
        <v>245</v>
      </c>
      <c r="L208" s="9">
        <v>27000</v>
      </c>
      <c r="M208" s="10">
        <v>0</v>
      </c>
      <c r="N208" s="6" t="s">
        <v>293</v>
      </c>
      <c r="O208" s="11">
        <v>0</v>
      </c>
      <c r="P208" s="11"/>
      <c r="Q208" s="11"/>
      <c r="R208" s="11"/>
      <c r="S208" s="11"/>
      <c r="T208" s="11"/>
      <c r="U208" s="11"/>
      <c r="V208" s="11"/>
      <c r="W208" s="11">
        <v>5</v>
      </c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>
        <v>5</v>
      </c>
      <c r="AJ208" s="11"/>
      <c r="AK208" s="11"/>
      <c r="AL208" s="11"/>
      <c r="AM208" s="10">
        <v>5</v>
      </c>
      <c r="AN208" s="10">
        <v>5</v>
      </c>
      <c r="AO208" s="11">
        <v>5.6163889155199982</v>
      </c>
      <c r="AP208" s="11">
        <v>5.9525185593360392</v>
      </c>
      <c r="AQ208" s="11">
        <v>6.3087648900751816</v>
      </c>
      <c r="AR208" s="10">
        <v>0</v>
      </c>
      <c r="AS208" s="10">
        <v>0</v>
      </c>
      <c r="AT208" s="10">
        <v>0</v>
      </c>
      <c r="AU208" s="10">
        <v>0</v>
      </c>
      <c r="AV208" s="10">
        <v>0</v>
      </c>
      <c r="AW208" s="10">
        <v>0</v>
      </c>
      <c r="AX208" s="10">
        <v>0</v>
      </c>
      <c r="AY208" s="10">
        <v>0</v>
      </c>
      <c r="AZ208" s="10">
        <v>133612.91423616357</v>
      </c>
      <c r="BA208" s="10">
        <v>0</v>
      </c>
      <c r="BB208" s="10">
        <v>0</v>
      </c>
      <c r="BC208" s="10">
        <v>0</v>
      </c>
      <c r="BD208" s="10">
        <v>0</v>
      </c>
      <c r="BE208" s="10">
        <v>0</v>
      </c>
      <c r="BF208" s="10">
        <v>0</v>
      </c>
      <c r="BG208" s="10">
        <v>0</v>
      </c>
      <c r="BH208" s="10">
        <v>0</v>
      </c>
      <c r="BI208" s="10">
        <v>0</v>
      </c>
      <c r="BJ208" s="10">
        <v>0</v>
      </c>
      <c r="BK208" s="10">
        <v>0</v>
      </c>
      <c r="BL208" s="10">
        <v>133612.91423616357</v>
      </c>
      <c r="BM208" s="10">
        <v>0</v>
      </c>
      <c r="BN208" s="10">
        <v>0</v>
      </c>
      <c r="BO208" s="10">
        <v>0</v>
      </c>
      <c r="BP208" s="12">
        <v>133612.91423616357</v>
      </c>
      <c r="BQ208" s="12">
        <v>133612.91423616357</v>
      </c>
      <c r="BR208" s="12">
        <v>150084.41809726265</v>
      </c>
      <c r="BS208" s="12">
        <v>159066.67035154763</v>
      </c>
      <c r="BT208" s="12">
        <v>168586.49243874702</v>
      </c>
      <c r="BU208" s="12">
        <f t="shared" si="4"/>
        <v>744963.40935988445</v>
      </c>
    </row>
    <row r="209" spans="1:73" x14ac:dyDescent="0.25">
      <c r="A209" s="6" t="s">
        <v>32</v>
      </c>
      <c r="B209" s="6" t="s">
        <v>18</v>
      </c>
      <c r="C209" s="18" t="s">
        <v>240</v>
      </c>
      <c r="D209" s="7" t="s">
        <v>241</v>
      </c>
      <c r="E209" s="7" t="s">
        <v>21</v>
      </c>
      <c r="F209" s="7" t="s">
        <v>242</v>
      </c>
      <c r="G209" s="7" t="s">
        <v>23</v>
      </c>
      <c r="H209" s="7" t="s">
        <v>250</v>
      </c>
      <c r="I209" s="6" t="s">
        <v>248</v>
      </c>
      <c r="J209" s="7" t="s">
        <v>244</v>
      </c>
      <c r="K209" s="6" t="s">
        <v>245</v>
      </c>
      <c r="L209" s="9">
        <v>27000</v>
      </c>
      <c r="M209" s="10">
        <v>0</v>
      </c>
      <c r="N209" s="6" t="s">
        <v>293</v>
      </c>
      <c r="O209" s="11">
        <v>0</v>
      </c>
      <c r="P209" s="11"/>
      <c r="Q209" s="11"/>
      <c r="R209" s="11"/>
      <c r="S209" s="11"/>
      <c r="T209" s="11"/>
      <c r="U209" s="11"/>
      <c r="V209" s="11"/>
      <c r="W209" s="11">
        <v>2</v>
      </c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>
        <v>2</v>
      </c>
      <c r="AJ209" s="11"/>
      <c r="AK209" s="11"/>
      <c r="AL209" s="11"/>
      <c r="AM209" s="10">
        <v>2</v>
      </c>
      <c r="AN209" s="10">
        <v>2</v>
      </c>
      <c r="AO209" s="11">
        <v>2</v>
      </c>
      <c r="AP209" s="11">
        <v>2.3810074237344154</v>
      </c>
      <c r="AQ209" s="11">
        <v>2.5235059560300726</v>
      </c>
      <c r="AR209" s="10">
        <v>0</v>
      </c>
      <c r="AS209" s="10">
        <v>0</v>
      </c>
      <c r="AT209" s="10">
        <v>0</v>
      </c>
      <c r="AU209" s="10">
        <v>0</v>
      </c>
      <c r="AV209" s="10">
        <v>0</v>
      </c>
      <c r="AW209" s="10">
        <v>0</v>
      </c>
      <c r="AX209" s="10">
        <v>0</v>
      </c>
      <c r="AY209" s="10">
        <v>0</v>
      </c>
      <c r="AZ209" s="10">
        <v>53445.165694465424</v>
      </c>
      <c r="BA209" s="10">
        <v>0</v>
      </c>
      <c r="BB209" s="10">
        <v>0</v>
      </c>
      <c r="BC209" s="10">
        <v>0</v>
      </c>
      <c r="BD209" s="10">
        <v>0</v>
      </c>
      <c r="BE209" s="10">
        <v>0</v>
      </c>
      <c r="BF209" s="10">
        <v>0</v>
      </c>
      <c r="BG209" s="10">
        <v>0</v>
      </c>
      <c r="BH209" s="10">
        <v>0</v>
      </c>
      <c r="BI209" s="10">
        <v>0</v>
      </c>
      <c r="BJ209" s="10">
        <v>0</v>
      </c>
      <c r="BK209" s="10">
        <v>0</v>
      </c>
      <c r="BL209" s="10">
        <v>53445.165694465424</v>
      </c>
      <c r="BM209" s="10">
        <v>0</v>
      </c>
      <c r="BN209" s="10">
        <v>0</v>
      </c>
      <c r="BO209" s="10">
        <v>0</v>
      </c>
      <c r="BP209" s="12">
        <v>53445.165694465424</v>
      </c>
      <c r="BQ209" s="12">
        <v>53445.165694465424</v>
      </c>
      <c r="BR209" s="12">
        <v>53445.165694465424</v>
      </c>
      <c r="BS209" s="12">
        <v>63626.668140619047</v>
      </c>
      <c r="BT209" s="12">
        <v>67434.596975498804</v>
      </c>
      <c r="BU209" s="12">
        <f t="shared" si="4"/>
        <v>291396.76219951408</v>
      </c>
    </row>
    <row r="210" spans="1:73" x14ac:dyDescent="0.25">
      <c r="A210" s="6" t="s">
        <v>34</v>
      </c>
      <c r="B210" s="6" t="s">
        <v>18</v>
      </c>
      <c r="C210" s="18" t="s">
        <v>240</v>
      </c>
      <c r="D210" s="7" t="s">
        <v>241</v>
      </c>
      <c r="E210" s="7" t="s">
        <v>21</v>
      </c>
      <c r="F210" s="7" t="s">
        <v>242</v>
      </c>
      <c r="G210" s="7" t="s">
        <v>23</v>
      </c>
      <c r="H210" s="7" t="s">
        <v>251</v>
      </c>
      <c r="I210" s="6" t="s">
        <v>248</v>
      </c>
      <c r="J210" s="7" t="s">
        <v>244</v>
      </c>
      <c r="K210" s="6" t="s">
        <v>245</v>
      </c>
      <c r="L210" s="9">
        <v>27000</v>
      </c>
      <c r="M210" s="10">
        <v>0</v>
      </c>
      <c r="N210" s="6" t="s">
        <v>293</v>
      </c>
      <c r="O210" s="11">
        <v>0</v>
      </c>
      <c r="P210" s="11"/>
      <c r="Q210" s="11"/>
      <c r="R210" s="11"/>
      <c r="S210" s="11"/>
      <c r="T210" s="11"/>
      <c r="U210" s="11"/>
      <c r="V210" s="11"/>
      <c r="W210" s="11">
        <v>5</v>
      </c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>
        <v>5</v>
      </c>
      <c r="AJ210" s="11"/>
      <c r="AK210" s="11"/>
      <c r="AL210" s="11"/>
      <c r="AM210" s="10">
        <v>5</v>
      </c>
      <c r="AN210" s="10">
        <v>5</v>
      </c>
      <c r="AO210" s="11">
        <v>5.2992399999999993</v>
      </c>
      <c r="AP210" s="11">
        <v>5.6163889155199982</v>
      </c>
      <c r="AQ210" s="11">
        <v>5.9525185593360392</v>
      </c>
      <c r="AR210" s="10">
        <v>0</v>
      </c>
      <c r="AS210" s="10">
        <v>0</v>
      </c>
      <c r="AT210" s="10">
        <v>0</v>
      </c>
      <c r="AU210" s="10">
        <v>0</v>
      </c>
      <c r="AV210" s="10">
        <v>0</v>
      </c>
      <c r="AW210" s="10">
        <v>0</v>
      </c>
      <c r="AX210" s="10">
        <v>0</v>
      </c>
      <c r="AY210" s="10">
        <v>0</v>
      </c>
      <c r="AZ210" s="10">
        <v>133612.91423616357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10">
        <v>0</v>
      </c>
      <c r="BG210" s="10">
        <v>0</v>
      </c>
      <c r="BH210" s="10">
        <v>0</v>
      </c>
      <c r="BI210" s="10">
        <v>0</v>
      </c>
      <c r="BJ210" s="10">
        <v>0</v>
      </c>
      <c r="BK210" s="10">
        <v>0</v>
      </c>
      <c r="BL210" s="10">
        <v>133612.91423616357</v>
      </c>
      <c r="BM210" s="10">
        <v>0</v>
      </c>
      <c r="BN210" s="10">
        <v>0</v>
      </c>
      <c r="BO210" s="10">
        <v>0</v>
      </c>
      <c r="BP210" s="12">
        <v>133612.91423616357</v>
      </c>
      <c r="BQ210" s="12">
        <v>133612.91423616357</v>
      </c>
      <c r="BR210" s="12">
        <v>141609.37992736947</v>
      </c>
      <c r="BS210" s="12">
        <v>150084.41809726265</v>
      </c>
      <c r="BT210" s="12">
        <v>159066.67035154763</v>
      </c>
      <c r="BU210" s="12">
        <f t="shared" si="4"/>
        <v>717986.2968485069</v>
      </c>
    </row>
    <row r="211" spans="1:73" x14ac:dyDescent="0.25">
      <c r="A211" s="6" t="s">
        <v>38</v>
      </c>
      <c r="B211" s="6" t="s">
        <v>18</v>
      </c>
      <c r="C211" s="18" t="s">
        <v>240</v>
      </c>
      <c r="D211" s="7" t="s">
        <v>241</v>
      </c>
      <c r="E211" s="7" t="s">
        <v>21</v>
      </c>
      <c r="F211" s="7" t="s">
        <v>242</v>
      </c>
      <c r="G211" s="7" t="s">
        <v>23</v>
      </c>
      <c r="H211" s="7" t="s">
        <v>243</v>
      </c>
      <c r="I211" s="6" t="s">
        <v>248</v>
      </c>
      <c r="J211" s="7" t="s">
        <v>244</v>
      </c>
      <c r="K211" s="6" t="s">
        <v>245</v>
      </c>
      <c r="L211" s="9"/>
      <c r="M211" s="10">
        <v>0</v>
      </c>
      <c r="N211" s="6" t="s">
        <v>293</v>
      </c>
      <c r="O211" s="11">
        <v>0</v>
      </c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0">
        <v>0</v>
      </c>
      <c r="AN211" s="10">
        <v>0</v>
      </c>
      <c r="AO211" s="11">
        <v>0</v>
      </c>
      <c r="AP211" s="11">
        <v>0</v>
      </c>
      <c r="AQ211" s="11">
        <v>0</v>
      </c>
      <c r="AR211" s="10">
        <v>0</v>
      </c>
      <c r="AS211" s="10">
        <v>0</v>
      </c>
      <c r="AT211" s="10">
        <v>0</v>
      </c>
      <c r="AU211" s="10">
        <v>0</v>
      </c>
      <c r="AV211" s="10">
        <v>0</v>
      </c>
      <c r="AW211" s="10">
        <v>0</v>
      </c>
      <c r="AX211" s="10">
        <v>0</v>
      </c>
      <c r="AY211" s="10">
        <v>0</v>
      </c>
      <c r="AZ211" s="10">
        <v>0</v>
      </c>
      <c r="BA211" s="10">
        <v>0</v>
      </c>
      <c r="BB211" s="10">
        <v>0</v>
      </c>
      <c r="BC211" s="10">
        <v>0</v>
      </c>
      <c r="BD211" s="10">
        <v>0</v>
      </c>
      <c r="BE211" s="10">
        <v>0</v>
      </c>
      <c r="BF211" s="10">
        <v>0</v>
      </c>
      <c r="BG211" s="10">
        <v>0</v>
      </c>
      <c r="BH211" s="10">
        <v>0</v>
      </c>
      <c r="BI211" s="10">
        <v>0</v>
      </c>
      <c r="BJ211" s="10">
        <v>0</v>
      </c>
      <c r="BK211" s="10">
        <v>0</v>
      </c>
      <c r="BL211" s="10">
        <v>0</v>
      </c>
      <c r="BM211" s="10">
        <v>0</v>
      </c>
      <c r="BN211" s="10">
        <v>0</v>
      </c>
      <c r="BO211" s="10">
        <v>0</v>
      </c>
      <c r="BP211" s="12">
        <v>0</v>
      </c>
      <c r="BQ211" s="12">
        <v>0</v>
      </c>
      <c r="BR211" s="12">
        <v>0</v>
      </c>
      <c r="BS211" s="12">
        <v>0</v>
      </c>
      <c r="BT211" s="12">
        <v>0</v>
      </c>
      <c r="BU211" s="12">
        <f t="shared" si="4"/>
        <v>0</v>
      </c>
    </row>
    <row r="212" spans="1:73" x14ac:dyDescent="0.25">
      <c r="A212" s="6" t="s">
        <v>40</v>
      </c>
      <c r="B212" s="6" t="s">
        <v>18</v>
      </c>
      <c r="C212" s="18" t="s">
        <v>240</v>
      </c>
      <c r="D212" s="7" t="s">
        <v>241</v>
      </c>
      <c r="E212" s="7" t="s">
        <v>21</v>
      </c>
      <c r="F212" s="7" t="s">
        <v>242</v>
      </c>
      <c r="G212" s="7" t="s">
        <v>23</v>
      </c>
      <c r="H212" s="7" t="s">
        <v>256</v>
      </c>
      <c r="I212" s="6" t="s">
        <v>248</v>
      </c>
      <c r="J212" s="7" t="s">
        <v>244</v>
      </c>
      <c r="K212" s="6" t="s">
        <v>245</v>
      </c>
      <c r="L212" s="9"/>
      <c r="M212" s="10">
        <v>0</v>
      </c>
      <c r="N212" s="6" t="s">
        <v>293</v>
      </c>
      <c r="O212" s="11">
        <v>0</v>
      </c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0">
        <v>0</v>
      </c>
      <c r="AN212" s="10">
        <v>0</v>
      </c>
      <c r="AO212" s="11">
        <v>0</v>
      </c>
      <c r="AP212" s="11">
        <v>0</v>
      </c>
      <c r="AQ212" s="11">
        <v>0</v>
      </c>
      <c r="AR212" s="10">
        <v>0</v>
      </c>
      <c r="AS212" s="10">
        <v>0</v>
      </c>
      <c r="AT212" s="10">
        <v>0</v>
      </c>
      <c r="AU212" s="10">
        <v>0</v>
      </c>
      <c r="AV212" s="10">
        <v>0</v>
      </c>
      <c r="AW212" s="10">
        <v>0</v>
      </c>
      <c r="AX212" s="10">
        <v>0</v>
      </c>
      <c r="AY212" s="10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10">
        <v>0</v>
      </c>
      <c r="BG212" s="10">
        <v>0</v>
      </c>
      <c r="BH212" s="10">
        <v>0</v>
      </c>
      <c r="BI212" s="10">
        <v>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  <c r="BP212" s="12">
        <v>0</v>
      </c>
      <c r="BQ212" s="12">
        <v>0</v>
      </c>
      <c r="BR212" s="12">
        <v>0</v>
      </c>
      <c r="BS212" s="12">
        <v>0</v>
      </c>
      <c r="BT212" s="12">
        <v>0</v>
      </c>
      <c r="BU212" s="12">
        <f t="shared" si="4"/>
        <v>0</v>
      </c>
    </row>
    <row r="213" spans="1:73" x14ac:dyDescent="0.25">
      <c r="A213" s="6" t="s">
        <v>42</v>
      </c>
      <c r="B213" s="6" t="s">
        <v>18</v>
      </c>
      <c r="C213" s="18" t="s">
        <v>240</v>
      </c>
      <c r="D213" s="7" t="s">
        <v>241</v>
      </c>
      <c r="E213" s="7" t="s">
        <v>21</v>
      </c>
      <c r="F213" s="7" t="s">
        <v>242</v>
      </c>
      <c r="G213" s="7" t="s">
        <v>23</v>
      </c>
      <c r="H213" s="7" t="s">
        <v>260</v>
      </c>
      <c r="I213" s="6" t="s">
        <v>248</v>
      </c>
      <c r="J213" s="7" t="s">
        <v>244</v>
      </c>
      <c r="K213" s="6" t="s">
        <v>245</v>
      </c>
      <c r="L213" s="9"/>
      <c r="M213" s="10">
        <v>0</v>
      </c>
      <c r="N213" s="6" t="s">
        <v>293</v>
      </c>
      <c r="O213" s="11">
        <v>0</v>
      </c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0">
        <v>0</v>
      </c>
      <c r="AN213" s="10">
        <v>0</v>
      </c>
      <c r="AO213" s="11">
        <v>0</v>
      </c>
      <c r="AP213" s="11">
        <v>0</v>
      </c>
      <c r="AQ213" s="11">
        <v>0</v>
      </c>
      <c r="AR213" s="10">
        <v>0</v>
      </c>
      <c r="AS213" s="10">
        <v>0</v>
      </c>
      <c r="AT213" s="10">
        <v>0</v>
      </c>
      <c r="AU213" s="10">
        <v>0</v>
      </c>
      <c r="AV213" s="10">
        <v>0</v>
      </c>
      <c r="AW213" s="10">
        <v>0</v>
      </c>
      <c r="AX213" s="10">
        <v>0</v>
      </c>
      <c r="AY213" s="10">
        <v>0</v>
      </c>
      <c r="AZ213" s="10">
        <v>0</v>
      </c>
      <c r="BA213" s="10">
        <v>0</v>
      </c>
      <c r="BB213" s="10">
        <v>0</v>
      </c>
      <c r="BC213" s="10">
        <v>0</v>
      </c>
      <c r="BD213" s="10">
        <v>0</v>
      </c>
      <c r="BE213" s="10">
        <v>0</v>
      </c>
      <c r="BF213" s="10">
        <v>0</v>
      </c>
      <c r="BG213" s="10">
        <v>0</v>
      </c>
      <c r="BH213" s="10">
        <v>0</v>
      </c>
      <c r="BI213" s="10">
        <v>0</v>
      </c>
      <c r="BJ213" s="10">
        <v>0</v>
      </c>
      <c r="BK213" s="10">
        <v>0</v>
      </c>
      <c r="BL213" s="10">
        <v>0</v>
      </c>
      <c r="BM213" s="10">
        <v>0</v>
      </c>
      <c r="BN213" s="10">
        <v>0</v>
      </c>
      <c r="BO213" s="10">
        <v>0</v>
      </c>
      <c r="BP213" s="12">
        <v>0</v>
      </c>
      <c r="BQ213" s="12">
        <v>0</v>
      </c>
      <c r="BR213" s="12">
        <v>0</v>
      </c>
      <c r="BS213" s="12">
        <v>0</v>
      </c>
      <c r="BT213" s="12">
        <v>0</v>
      </c>
      <c r="BU213" s="12">
        <f t="shared" si="4"/>
        <v>0</v>
      </c>
    </row>
    <row r="214" spans="1:73" x14ac:dyDescent="0.25">
      <c r="A214" s="6" t="s">
        <v>28</v>
      </c>
      <c r="B214" s="6" t="s">
        <v>18</v>
      </c>
      <c r="C214" s="18" t="s">
        <v>240</v>
      </c>
      <c r="D214" s="7" t="s">
        <v>241</v>
      </c>
      <c r="E214" s="7" t="s">
        <v>21</v>
      </c>
      <c r="F214" s="7" t="s">
        <v>242</v>
      </c>
      <c r="G214" s="7" t="s">
        <v>23</v>
      </c>
      <c r="H214" s="7" t="s">
        <v>247</v>
      </c>
      <c r="I214" s="6" t="s">
        <v>76</v>
      </c>
      <c r="J214" s="7" t="s">
        <v>244</v>
      </c>
      <c r="K214" s="6" t="s">
        <v>245</v>
      </c>
      <c r="L214" s="9"/>
      <c r="M214" s="10">
        <v>0</v>
      </c>
      <c r="N214" s="6" t="s">
        <v>294</v>
      </c>
      <c r="O214" s="11">
        <v>0</v>
      </c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0">
        <v>0</v>
      </c>
      <c r="AN214" s="10">
        <v>0</v>
      </c>
      <c r="AO214" s="11">
        <v>0</v>
      </c>
      <c r="AP214" s="11">
        <v>0</v>
      </c>
      <c r="AQ214" s="11">
        <v>0</v>
      </c>
      <c r="AR214" s="10">
        <v>0</v>
      </c>
      <c r="AS214" s="10">
        <v>0</v>
      </c>
      <c r="AT214" s="10">
        <v>0</v>
      </c>
      <c r="AU214" s="10">
        <v>0</v>
      </c>
      <c r="AV214" s="10">
        <v>0</v>
      </c>
      <c r="AW214" s="10">
        <v>0</v>
      </c>
      <c r="AX214" s="10">
        <v>0</v>
      </c>
      <c r="AY214" s="10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0</v>
      </c>
      <c r="BF214" s="10">
        <v>0</v>
      </c>
      <c r="BG214" s="10">
        <v>0</v>
      </c>
      <c r="BH214" s="10">
        <v>0</v>
      </c>
      <c r="BI214" s="10">
        <v>0</v>
      </c>
      <c r="BJ214" s="10">
        <v>0</v>
      </c>
      <c r="BK214" s="10">
        <v>0</v>
      </c>
      <c r="BL214" s="10">
        <v>0</v>
      </c>
      <c r="BM214" s="10">
        <v>0</v>
      </c>
      <c r="BN214" s="10">
        <v>0</v>
      </c>
      <c r="BO214" s="10">
        <v>0</v>
      </c>
      <c r="BP214" s="12">
        <v>0</v>
      </c>
      <c r="BQ214" s="12">
        <v>0</v>
      </c>
      <c r="BR214" s="12">
        <v>0</v>
      </c>
      <c r="BS214" s="12">
        <v>0</v>
      </c>
      <c r="BT214" s="12">
        <v>0</v>
      </c>
      <c r="BU214" s="12">
        <f t="shared" si="4"/>
        <v>0</v>
      </c>
    </row>
    <row r="215" spans="1:73" x14ac:dyDescent="0.25">
      <c r="A215" s="6" t="s">
        <v>30</v>
      </c>
      <c r="B215" s="6" t="s">
        <v>18</v>
      </c>
      <c r="C215" s="18" t="s">
        <v>240</v>
      </c>
      <c r="D215" s="7" t="s">
        <v>241</v>
      </c>
      <c r="E215" s="7" t="s">
        <v>21</v>
      </c>
      <c r="F215" s="7" t="s">
        <v>242</v>
      </c>
      <c r="G215" s="7" t="s">
        <v>23</v>
      </c>
      <c r="H215" s="7" t="s">
        <v>249</v>
      </c>
      <c r="I215" s="6" t="s">
        <v>76</v>
      </c>
      <c r="J215" s="7" t="s">
        <v>244</v>
      </c>
      <c r="K215" s="6" t="s">
        <v>245</v>
      </c>
      <c r="L215" s="9"/>
      <c r="M215" s="10">
        <v>0</v>
      </c>
      <c r="N215" s="6" t="s">
        <v>294</v>
      </c>
      <c r="O215" s="11">
        <v>0</v>
      </c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0">
        <v>0</v>
      </c>
      <c r="AN215" s="10">
        <v>0</v>
      </c>
      <c r="AO215" s="11">
        <v>0</v>
      </c>
      <c r="AP215" s="11">
        <v>0</v>
      </c>
      <c r="AQ215" s="11">
        <v>0</v>
      </c>
      <c r="AR215" s="10">
        <v>0</v>
      </c>
      <c r="AS215" s="10">
        <v>0</v>
      </c>
      <c r="AT215" s="10">
        <v>0</v>
      </c>
      <c r="AU215" s="10">
        <v>0</v>
      </c>
      <c r="AV215" s="10">
        <v>0</v>
      </c>
      <c r="AW215" s="10">
        <v>0</v>
      </c>
      <c r="AX215" s="10">
        <v>0</v>
      </c>
      <c r="AY215" s="10">
        <v>0</v>
      </c>
      <c r="AZ215" s="10">
        <v>0</v>
      </c>
      <c r="BA215" s="10">
        <v>0</v>
      </c>
      <c r="BB215" s="10">
        <v>0</v>
      </c>
      <c r="BC215" s="10">
        <v>0</v>
      </c>
      <c r="BD215" s="10">
        <v>0</v>
      </c>
      <c r="BE215" s="10">
        <v>0</v>
      </c>
      <c r="BF215" s="10">
        <v>0</v>
      </c>
      <c r="BG215" s="10">
        <v>0</v>
      </c>
      <c r="BH215" s="10">
        <v>0</v>
      </c>
      <c r="BI215" s="10">
        <v>0</v>
      </c>
      <c r="BJ215" s="10">
        <v>0</v>
      </c>
      <c r="BK215" s="10">
        <v>0</v>
      </c>
      <c r="BL215" s="10">
        <v>0</v>
      </c>
      <c r="BM215" s="10">
        <v>0</v>
      </c>
      <c r="BN215" s="10">
        <v>0</v>
      </c>
      <c r="BO215" s="10">
        <v>0</v>
      </c>
      <c r="BP215" s="12">
        <v>0</v>
      </c>
      <c r="BQ215" s="12">
        <v>0</v>
      </c>
      <c r="BR215" s="12">
        <v>0</v>
      </c>
      <c r="BS215" s="12">
        <v>0</v>
      </c>
      <c r="BT215" s="12">
        <v>0</v>
      </c>
      <c r="BU215" s="12">
        <f t="shared" si="4"/>
        <v>0</v>
      </c>
    </row>
    <row r="216" spans="1:73" x14ac:dyDescent="0.25">
      <c r="A216" s="6" t="s">
        <v>32</v>
      </c>
      <c r="B216" s="6" t="s">
        <v>18</v>
      </c>
      <c r="C216" s="18" t="s">
        <v>240</v>
      </c>
      <c r="D216" s="7" t="s">
        <v>241</v>
      </c>
      <c r="E216" s="7" t="s">
        <v>21</v>
      </c>
      <c r="F216" s="7" t="s">
        <v>242</v>
      </c>
      <c r="G216" s="7" t="s">
        <v>23</v>
      </c>
      <c r="H216" s="7" t="s">
        <v>250</v>
      </c>
      <c r="I216" s="6" t="s">
        <v>76</v>
      </c>
      <c r="J216" s="7" t="s">
        <v>244</v>
      </c>
      <c r="K216" s="6" t="s">
        <v>245</v>
      </c>
      <c r="L216" s="9"/>
      <c r="M216" s="10">
        <v>0</v>
      </c>
      <c r="N216" s="6" t="s">
        <v>294</v>
      </c>
      <c r="O216" s="11">
        <v>0</v>
      </c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0">
        <v>0</v>
      </c>
      <c r="AN216" s="10">
        <v>0</v>
      </c>
      <c r="AO216" s="11">
        <v>0</v>
      </c>
      <c r="AP216" s="11">
        <v>0</v>
      </c>
      <c r="AQ216" s="11">
        <v>0</v>
      </c>
      <c r="AR216" s="10">
        <v>0</v>
      </c>
      <c r="AS216" s="10">
        <v>0</v>
      </c>
      <c r="AT216" s="10">
        <v>0</v>
      </c>
      <c r="AU216" s="10">
        <v>0</v>
      </c>
      <c r="AV216" s="10">
        <v>0</v>
      </c>
      <c r="AW216" s="10">
        <v>0</v>
      </c>
      <c r="AX216" s="10">
        <v>0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10">
        <v>0</v>
      </c>
      <c r="BG216" s="10">
        <v>0</v>
      </c>
      <c r="BH216" s="10">
        <v>0</v>
      </c>
      <c r="BI216" s="10">
        <v>0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  <c r="BP216" s="12">
        <v>0</v>
      </c>
      <c r="BQ216" s="12">
        <v>0</v>
      </c>
      <c r="BR216" s="12">
        <v>0</v>
      </c>
      <c r="BS216" s="12">
        <v>0</v>
      </c>
      <c r="BT216" s="12">
        <v>0</v>
      </c>
      <c r="BU216" s="12">
        <f t="shared" si="4"/>
        <v>0</v>
      </c>
    </row>
    <row r="217" spans="1:73" x14ac:dyDescent="0.25">
      <c r="A217" s="6" t="s">
        <v>34</v>
      </c>
      <c r="B217" s="6" t="s">
        <v>18</v>
      </c>
      <c r="C217" s="18" t="s">
        <v>240</v>
      </c>
      <c r="D217" s="7" t="s">
        <v>241</v>
      </c>
      <c r="E217" s="7" t="s">
        <v>21</v>
      </c>
      <c r="F217" s="7" t="s">
        <v>242</v>
      </c>
      <c r="G217" s="7" t="s">
        <v>23</v>
      </c>
      <c r="H217" s="7" t="s">
        <v>251</v>
      </c>
      <c r="I217" s="6" t="s">
        <v>76</v>
      </c>
      <c r="J217" s="7" t="s">
        <v>244</v>
      </c>
      <c r="K217" s="6" t="s">
        <v>245</v>
      </c>
      <c r="L217" s="9"/>
      <c r="M217" s="10">
        <v>0</v>
      </c>
      <c r="N217" s="6" t="s">
        <v>294</v>
      </c>
      <c r="O217" s="11">
        <v>0</v>
      </c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0">
        <v>0</v>
      </c>
      <c r="AN217" s="10">
        <v>0</v>
      </c>
      <c r="AO217" s="11">
        <v>0</v>
      </c>
      <c r="AP217" s="11">
        <v>0</v>
      </c>
      <c r="AQ217" s="11">
        <v>0</v>
      </c>
      <c r="AR217" s="10">
        <v>0</v>
      </c>
      <c r="AS217" s="10">
        <v>0</v>
      </c>
      <c r="AT217" s="10">
        <v>0</v>
      </c>
      <c r="AU217" s="10">
        <v>0</v>
      </c>
      <c r="AV217" s="10">
        <v>0</v>
      </c>
      <c r="AW217" s="10">
        <v>0</v>
      </c>
      <c r="AX217" s="10">
        <v>0</v>
      </c>
      <c r="AY217" s="10">
        <v>0</v>
      </c>
      <c r="AZ217" s="10">
        <v>0</v>
      </c>
      <c r="BA217" s="10">
        <v>0</v>
      </c>
      <c r="BB217" s="10">
        <v>0</v>
      </c>
      <c r="BC217" s="10">
        <v>0</v>
      </c>
      <c r="BD217" s="10">
        <v>0</v>
      </c>
      <c r="BE217" s="10">
        <v>0</v>
      </c>
      <c r="BF217" s="10">
        <v>0</v>
      </c>
      <c r="BG217" s="10">
        <v>0</v>
      </c>
      <c r="BH217" s="10">
        <v>0</v>
      </c>
      <c r="BI217" s="10">
        <v>0</v>
      </c>
      <c r="BJ217" s="10">
        <v>0</v>
      </c>
      <c r="BK217" s="10">
        <v>0</v>
      </c>
      <c r="BL217" s="10">
        <v>0</v>
      </c>
      <c r="BM217" s="10">
        <v>0</v>
      </c>
      <c r="BN217" s="10">
        <v>0</v>
      </c>
      <c r="BO217" s="10">
        <v>0</v>
      </c>
      <c r="BP217" s="12">
        <v>0</v>
      </c>
      <c r="BQ217" s="12">
        <v>0</v>
      </c>
      <c r="BR217" s="12">
        <v>0</v>
      </c>
      <c r="BS217" s="12">
        <v>0</v>
      </c>
      <c r="BT217" s="12">
        <v>0</v>
      </c>
      <c r="BU217" s="12">
        <f t="shared" si="4"/>
        <v>0</v>
      </c>
    </row>
    <row r="218" spans="1:73" x14ac:dyDescent="0.25">
      <c r="A218" s="6" t="s">
        <v>34</v>
      </c>
      <c r="B218" s="6" t="s">
        <v>18</v>
      </c>
      <c r="C218" s="18" t="s">
        <v>240</v>
      </c>
      <c r="D218" s="7" t="s">
        <v>241</v>
      </c>
      <c r="E218" s="7" t="s">
        <v>21</v>
      </c>
      <c r="F218" s="7" t="s">
        <v>242</v>
      </c>
      <c r="G218" s="7" t="s">
        <v>23</v>
      </c>
      <c r="H218" s="7" t="s">
        <v>251</v>
      </c>
      <c r="I218" s="6" t="s">
        <v>76</v>
      </c>
      <c r="J218" s="7" t="s">
        <v>244</v>
      </c>
      <c r="K218" s="6" t="s">
        <v>245</v>
      </c>
      <c r="L218" s="9"/>
      <c r="M218" s="10">
        <v>0</v>
      </c>
      <c r="N218" s="6" t="s">
        <v>295</v>
      </c>
      <c r="O218" s="11">
        <v>0</v>
      </c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0">
        <v>0</v>
      </c>
      <c r="AN218" s="10">
        <v>0</v>
      </c>
      <c r="AO218" s="11">
        <v>0</v>
      </c>
      <c r="AP218" s="11">
        <v>0</v>
      </c>
      <c r="AQ218" s="11">
        <v>0</v>
      </c>
      <c r="AR218" s="10">
        <v>0</v>
      </c>
      <c r="AS218" s="10">
        <v>0</v>
      </c>
      <c r="AT218" s="10">
        <v>0</v>
      </c>
      <c r="AU218" s="10">
        <v>0</v>
      </c>
      <c r="AV218" s="10">
        <v>0</v>
      </c>
      <c r="AW218" s="10">
        <v>0</v>
      </c>
      <c r="AX218" s="10">
        <v>0</v>
      </c>
      <c r="AY218" s="10">
        <v>0</v>
      </c>
      <c r="AZ218" s="10">
        <v>0</v>
      </c>
      <c r="BA218" s="10">
        <v>0</v>
      </c>
      <c r="BB218" s="10">
        <v>0</v>
      </c>
      <c r="BC218" s="10">
        <v>0</v>
      </c>
      <c r="BD218" s="10">
        <v>0</v>
      </c>
      <c r="BE218" s="10">
        <v>0</v>
      </c>
      <c r="BF218" s="10">
        <v>0</v>
      </c>
      <c r="BG218" s="10">
        <v>0</v>
      </c>
      <c r="BH218" s="10">
        <v>0</v>
      </c>
      <c r="BI218" s="10">
        <v>0</v>
      </c>
      <c r="BJ218" s="10">
        <v>0</v>
      </c>
      <c r="BK218" s="10">
        <v>0</v>
      </c>
      <c r="BL218" s="10">
        <v>0</v>
      </c>
      <c r="BM218" s="10">
        <v>0</v>
      </c>
      <c r="BN218" s="10">
        <v>0</v>
      </c>
      <c r="BO218" s="10">
        <v>0</v>
      </c>
      <c r="BP218" s="12">
        <v>0</v>
      </c>
      <c r="BQ218" s="12">
        <v>0</v>
      </c>
      <c r="BR218" s="12">
        <v>0</v>
      </c>
      <c r="BS218" s="12">
        <v>0</v>
      </c>
      <c r="BT218" s="12">
        <v>0</v>
      </c>
      <c r="BU218" s="12">
        <f t="shared" si="4"/>
        <v>0</v>
      </c>
    </row>
    <row r="219" spans="1:73" x14ac:dyDescent="0.25">
      <c r="A219" s="6" t="s">
        <v>30</v>
      </c>
      <c r="B219" s="6" t="s">
        <v>18</v>
      </c>
      <c r="C219" s="18" t="s">
        <v>240</v>
      </c>
      <c r="D219" s="7" t="s">
        <v>241</v>
      </c>
      <c r="E219" s="7" t="s">
        <v>21</v>
      </c>
      <c r="F219" s="7" t="s">
        <v>242</v>
      </c>
      <c r="G219" s="7" t="s">
        <v>23</v>
      </c>
      <c r="H219" s="7" t="s">
        <v>249</v>
      </c>
      <c r="I219" s="6" t="s">
        <v>76</v>
      </c>
      <c r="J219" s="7" t="s">
        <v>244</v>
      </c>
      <c r="K219" s="6" t="s">
        <v>245</v>
      </c>
      <c r="L219" s="9">
        <v>170000</v>
      </c>
      <c r="M219" s="10">
        <v>0</v>
      </c>
      <c r="N219" s="6" t="s">
        <v>296</v>
      </c>
      <c r="O219" s="11">
        <v>0</v>
      </c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>
        <v>1</v>
      </c>
      <c r="AJ219" s="11"/>
      <c r="AK219" s="11"/>
      <c r="AL219" s="11"/>
      <c r="AM219" s="10">
        <v>0</v>
      </c>
      <c r="AN219" s="10">
        <v>1</v>
      </c>
      <c r="AO219" s="11">
        <v>0</v>
      </c>
      <c r="AP219" s="11">
        <v>0</v>
      </c>
      <c r="AQ219" s="11">
        <v>0</v>
      </c>
      <c r="AR219" s="10">
        <v>0</v>
      </c>
      <c r="AS219" s="10">
        <v>0</v>
      </c>
      <c r="AT219" s="10">
        <v>0</v>
      </c>
      <c r="AU219" s="10">
        <v>0</v>
      </c>
      <c r="AV219" s="10">
        <v>0</v>
      </c>
      <c r="AW219" s="10">
        <v>0</v>
      </c>
      <c r="AX219" s="10">
        <v>0</v>
      </c>
      <c r="AY219" s="10">
        <v>0</v>
      </c>
      <c r="AZ219" s="10">
        <v>0</v>
      </c>
      <c r="BA219" s="10">
        <v>0</v>
      </c>
      <c r="BB219" s="10">
        <v>0</v>
      </c>
      <c r="BC219" s="10">
        <v>0</v>
      </c>
      <c r="BD219" s="10">
        <v>0</v>
      </c>
      <c r="BE219" s="10">
        <v>0</v>
      </c>
      <c r="BF219" s="10">
        <v>0</v>
      </c>
      <c r="BG219" s="10">
        <v>0</v>
      </c>
      <c r="BH219" s="10">
        <v>0</v>
      </c>
      <c r="BI219" s="10">
        <v>0</v>
      </c>
      <c r="BJ219" s="10">
        <v>0</v>
      </c>
      <c r="BK219" s="10">
        <v>0</v>
      </c>
      <c r="BL219" s="10">
        <v>168253.29940850227</v>
      </c>
      <c r="BM219" s="10">
        <v>0</v>
      </c>
      <c r="BN219" s="10">
        <v>0</v>
      </c>
      <c r="BO219" s="10">
        <v>0</v>
      </c>
      <c r="BP219" s="12">
        <v>0</v>
      </c>
      <c r="BQ219" s="12">
        <v>168253.29940850227</v>
      </c>
      <c r="BR219" s="12">
        <v>0</v>
      </c>
      <c r="BS219" s="12">
        <v>0</v>
      </c>
      <c r="BT219" s="12">
        <v>0</v>
      </c>
      <c r="BU219" s="12">
        <f t="shared" si="4"/>
        <v>168253.29940850227</v>
      </c>
    </row>
    <row r="220" spans="1:73" x14ac:dyDescent="0.25">
      <c r="A220" s="6" t="s">
        <v>17</v>
      </c>
      <c r="B220" s="6" t="s">
        <v>18</v>
      </c>
      <c r="C220" s="18" t="s">
        <v>240</v>
      </c>
      <c r="D220" s="7" t="s">
        <v>241</v>
      </c>
      <c r="E220" s="7" t="s">
        <v>21</v>
      </c>
      <c r="F220" s="7" t="s">
        <v>242</v>
      </c>
      <c r="G220" s="7" t="s">
        <v>23</v>
      </c>
      <c r="H220" s="7" t="s">
        <v>254</v>
      </c>
      <c r="I220" s="6" t="s">
        <v>76</v>
      </c>
      <c r="J220" s="7" t="s">
        <v>244</v>
      </c>
      <c r="K220" s="6" t="s">
        <v>245</v>
      </c>
      <c r="L220" s="9"/>
      <c r="M220" s="10">
        <v>0</v>
      </c>
      <c r="N220" s="6" t="s">
        <v>297</v>
      </c>
      <c r="O220" s="11">
        <v>0</v>
      </c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0">
        <v>0</v>
      </c>
      <c r="AN220" s="10">
        <v>0</v>
      </c>
      <c r="AO220" s="11">
        <v>0</v>
      </c>
      <c r="AP220" s="11">
        <v>0</v>
      </c>
      <c r="AQ220" s="11">
        <v>0</v>
      </c>
      <c r="AR220" s="10">
        <v>0</v>
      </c>
      <c r="AS220" s="10">
        <v>0</v>
      </c>
      <c r="AT220" s="10">
        <v>0</v>
      </c>
      <c r="AU220" s="10">
        <v>0</v>
      </c>
      <c r="AV220" s="10">
        <v>0</v>
      </c>
      <c r="AW220" s="10">
        <v>0</v>
      </c>
      <c r="AX220" s="10">
        <v>0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10">
        <v>0</v>
      </c>
      <c r="BG220" s="10">
        <v>0</v>
      </c>
      <c r="BH220" s="10">
        <v>0</v>
      </c>
      <c r="BI220" s="10">
        <v>0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0</v>
      </c>
      <c r="BP220" s="12">
        <v>0</v>
      </c>
      <c r="BQ220" s="12">
        <v>0</v>
      </c>
      <c r="BR220" s="12">
        <v>0</v>
      </c>
      <c r="BS220" s="12">
        <v>0</v>
      </c>
      <c r="BT220" s="12">
        <v>0</v>
      </c>
      <c r="BU220" s="12">
        <f t="shared" si="4"/>
        <v>0</v>
      </c>
    </row>
    <row r="221" spans="1:73" x14ac:dyDescent="0.25">
      <c r="A221" s="6" t="s">
        <v>28</v>
      </c>
      <c r="B221" s="6" t="s">
        <v>18</v>
      </c>
      <c r="C221" s="18" t="s">
        <v>240</v>
      </c>
      <c r="D221" s="7" t="s">
        <v>241</v>
      </c>
      <c r="E221" s="7" t="s">
        <v>21</v>
      </c>
      <c r="F221" s="7" t="s">
        <v>242</v>
      </c>
      <c r="G221" s="7" t="s">
        <v>23</v>
      </c>
      <c r="H221" s="7" t="s">
        <v>247</v>
      </c>
      <c r="I221" s="6" t="s">
        <v>76</v>
      </c>
      <c r="J221" s="7" t="s">
        <v>244</v>
      </c>
      <c r="K221" s="6" t="s">
        <v>245</v>
      </c>
      <c r="L221" s="9"/>
      <c r="M221" s="10">
        <v>0</v>
      </c>
      <c r="N221" s="6" t="s">
        <v>297</v>
      </c>
      <c r="O221" s="11">
        <v>0</v>
      </c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0">
        <v>0</v>
      </c>
      <c r="AN221" s="10">
        <v>0</v>
      </c>
      <c r="AO221" s="11">
        <v>0</v>
      </c>
      <c r="AP221" s="11">
        <v>0</v>
      </c>
      <c r="AQ221" s="11">
        <v>0</v>
      </c>
      <c r="AR221" s="10">
        <v>0</v>
      </c>
      <c r="AS221" s="10">
        <v>0</v>
      </c>
      <c r="AT221" s="10">
        <v>0</v>
      </c>
      <c r="AU221" s="10">
        <v>0</v>
      </c>
      <c r="AV221" s="10">
        <v>0</v>
      </c>
      <c r="AW221" s="10">
        <v>0</v>
      </c>
      <c r="AX221" s="10">
        <v>0</v>
      </c>
      <c r="AY221" s="10">
        <v>0</v>
      </c>
      <c r="AZ221" s="10">
        <v>0</v>
      </c>
      <c r="BA221" s="10">
        <v>0</v>
      </c>
      <c r="BB221" s="10">
        <v>0</v>
      </c>
      <c r="BC221" s="10">
        <v>0</v>
      </c>
      <c r="BD221" s="10">
        <v>0</v>
      </c>
      <c r="BE221" s="10">
        <v>0</v>
      </c>
      <c r="BF221" s="10">
        <v>0</v>
      </c>
      <c r="BG221" s="10">
        <v>0</v>
      </c>
      <c r="BH221" s="10">
        <v>0</v>
      </c>
      <c r="BI221" s="10">
        <v>0</v>
      </c>
      <c r="BJ221" s="10">
        <v>0</v>
      </c>
      <c r="BK221" s="10">
        <v>0</v>
      </c>
      <c r="BL221" s="10">
        <v>0</v>
      </c>
      <c r="BM221" s="10">
        <v>0</v>
      </c>
      <c r="BN221" s="10">
        <v>0</v>
      </c>
      <c r="BO221" s="10">
        <v>0</v>
      </c>
      <c r="BP221" s="12">
        <v>0</v>
      </c>
      <c r="BQ221" s="12">
        <v>0</v>
      </c>
      <c r="BR221" s="12">
        <v>0</v>
      </c>
      <c r="BS221" s="12">
        <v>0</v>
      </c>
      <c r="BT221" s="12">
        <v>0</v>
      </c>
      <c r="BU221" s="12">
        <f t="shared" si="4"/>
        <v>0</v>
      </c>
    </row>
    <row r="222" spans="1:73" x14ac:dyDescent="0.25">
      <c r="A222" s="6" t="s">
        <v>30</v>
      </c>
      <c r="B222" s="6" t="s">
        <v>18</v>
      </c>
      <c r="C222" s="18" t="s">
        <v>240</v>
      </c>
      <c r="D222" s="7" t="s">
        <v>241</v>
      </c>
      <c r="E222" s="7" t="s">
        <v>21</v>
      </c>
      <c r="F222" s="7" t="s">
        <v>242</v>
      </c>
      <c r="G222" s="7" t="s">
        <v>23</v>
      </c>
      <c r="H222" s="7" t="s">
        <v>249</v>
      </c>
      <c r="I222" s="6" t="s">
        <v>76</v>
      </c>
      <c r="J222" s="7" t="s">
        <v>244</v>
      </c>
      <c r="K222" s="6" t="s">
        <v>245</v>
      </c>
      <c r="L222" s="9"/>
      <c r="M222" s="10">
        <v>0</v>
      </c>
      <c r="N222" s="6" t="s">
        <v>297</v>
      </c>
      <c r="O222" s="11">
        <v>0</v>
      </c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0">
        <v>0</v>
      </c>
      <c r="AN222" s="10">
        <v>0</v>
      </c>
      <c r="AO222" s="11">
        <v>0</v>
      </c>
      <c r="AP222" s="11">
        <v>0</v>
      </c>
      <c r="AQ222" s="11">
        <v>0</v>
      </c>
      <c r="AR222" s="10">
        <v>0</v>
      </c>
      <c r="AS222" s="10">
        <v>0</v>
      </c>
      <c r="AT222" s="10">
        <v>0</v>
      </c>
      <c r="AU222" s="10">
        <v>0</v>
      </c>
      <c r="AV222" s="10">
        <v>0</v>
      </c>
      <c r="AW222" s="10">
        <v>0</v>
      </c>
      <c r="AX222" s="10">
        <v>0</v>
      </c>
      <c r="AY222" s="10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0</v>
      </c>
      <c r="BE222" s="10">
        <v>0</v>
      </c>
      <c r="BF222" s="10">
        <v>0</v>
      </c>
      <c r="BG222" s="10">
        <v>0</v>
      </c>
      <c r="BH222" s="10">
        <v>0</v>
      </c>
      <c r="BI222" s="10">
        <v>0</v>
      </c>
      <c r="BJ222" s="10">
        <v>0</v>
      </c>
      <c r="BK222" s="10">
        <v>0</v>
      </c>
      <c r="BL222" s="10">
        <v>0</v>
      </c>
      <c r="BM222" s="10">
        <v>0</v>
      </c>
      <c r="BN222" s="10">
        <v>0</v>
      </c>
      <c r="BO222" s="10">
        <v>0</v>
      </c>
      <c r="BP222" s="12">
        <v>0</v>
      </c>
      <c r="BQ222" s="12">
        <v>0</v>
      </c>
      <c r="BR222" s="12">
        <v>0</v>
      </c>
      <c r="BS222" s="12">
        <v>0</v>
      </c>
      <c r="BT222" s="12">
        <v>0</v>
      </c>
      <c r="BU222" s="12">
        <f t="shared" si="4"/>
        <v>0</v>
      </c>
    </row>
    <row r="223" spans="1:73" x14ac:dyDescent="0.25">
      <c r="A223" s="6" t="s">
        <v>32</v>
      </c>
      <c r="B223" s="6" t="s">
        <v>18</v>
      </c>
      <c r="C223" s="18" t="s">
        <v>240</v>
      </c>
      <c r="D223" s="7" t="s">
        <v>241</v>
      </c>
      <c r="E223" s="7" t="s">
        <v>21</v>
      </c>
      <c r="F223" s="7" t="s">
        <v>242</v>
      </c>
      <c r="G223" s="7" t="s">
        <v>23</v>
      </c>
      <c r="H223" s="7" t="s">
        <v>250</v>
      </c>
      <c r="I223" s="6" t="s">
        <v>76</v>
      </c>
      <c r="J223" s="7" t="s">
        <v>244</v>
      </c>
      <c r="K223" s="6" t="s">
        <v>245</v>
      </c>
      <c r="L223" s="9"/>
      <c r="M223" s="10">
        <v>0</v>
      </c>
      <c r="N223" s="6" t="s">
        <v>297</v>
      </c>
      <c r="O223" s="11">
        <v>0</v>
      </c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0">
        <v>0</v>
      </c>
      <c r="AN223" s="10">
        <v>0</v>
      </c>
      <c r="AO223" s="11">
        <v>0</v>
      </c>
      <c r="AP223" s="11">
        <v>0</v>
      </c>
      <c r="AQ223" s="11">
        <v>0</v>
      </c>
      <c r="AR223" s="10">
        <v>0</v>
      </c>
      <c r="AS223" s="10">
        <v>0</v>
      </c>
      <c r="AT223" s="10">
        <v>0</v>
      </c>
      <c r="AU223" s="10">
        <v>0</v>
      </c>
      <c r="AV223" s="10">
        <v>0</v>
      </c>
      <c r="AW223" s="10">
        <v>0</v>
      </c>
      <c r="AX223" s="10">
        <v>0</v>
      </c>
      <c r="AY223" s="10">
        <v>0</v>
      </c>
      <c r="AZ223" s="10">
        <v>0</v>
      </c>
      <c r="BA223" s="10">
        <v>0</v>
      </c>
      <c r="BB223" s="10">
        <v>0</v>
      </c>
      <c r="BC223" s="10">
        <v>0</v>
      </c>
      <c r="BD223" s="10">
        <v>0</v>
      </c>
      <c r="BE223" s="10">
        <v>0</v>
      </c>
      <c r="BF223" s="10">
        <v>0</v>
      </c>
      <c r="BG223" s="10">
        <v>0</v>
      </c>
      <c r="BH223" s="10">
        <v>0</v>
      </c>
      <c r="BI223" s="10">
        <v>0</v>
      </c>
      <c r="BJ223" s="10">
        <v>0</v>
      </c>
      <c r="BK223" s="10">
        <v>0</v>
      </c>
      <c r="BL223" s="10">
        <v>0</v>
      </c>
      <c r="BM223" s="10">
        <v>0</v>
      </c>
      <c r="BN223" s="10">
        <v>0</v>
      </c>
      <c r="BO223" s="10">
        <v>0</v>
      </c>
      <c r="BP223" s="12">
        <v>0</v>
      </c>
      <c r="BQ223" s="12">
        <v>0</v>
      </c>
      <c r="BR223" s="12">
        <v>0</v>
      </c>
      <c r="BS223" s="12">
        <v>0</v>
      </c>
      <c r="BT223" s="12">
        <v>0</v>
      </c>
      <c r="BU223" s="12">
        <f t="shared" si="4"/>
        <v>0</v>
      </c>
    </row>
    <row r="224" spans="1:73" x14ac:dyDescent="0.25">
      <c r="A224" s="6" t="s">
        <v>34</v>
      </c>
      <c r="B224" s="6" t="s">
        <v>18</v>
      </c>
      <c r="C224" s="18" t="s">
        <v>240</v>
      </c>
      <c r="D224" s="7" t="s">
        <v>241</v>
      </c>
      <c r="E224" s="7" t="s">
        <v>21</v>
      </c>
      <c r="F224" s="7" t="s">
        <v>242</v>
      </c>
      <c r="G224" s="7" t="s">
        <v>23</v>
      </c>
      <c r="H224" s="7" t="s">
        <v>251</v>
      </c>
      <c r="I224" s="6" t="s">
        <v>76</v>
      </c>
      <c r="J224" s="7" t="s">
        <v>244</v>
      </c>
      <c r="K224" s="6" t="s">
        <v>245</v>
      </c>
      <c r="L224" s="9"/>
      <c r="M224" s="10">
        <v>0</v>
      </c>
      <c r="N224" s="6" t="s">
        <v>297</v>
      </c>
      <c r="O224" s="11">
        <v>0</v>
      </c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0">
        <v>0</v>
      </c>
      <c r="AN224" s="10">
        <v>0</v>
      </c>
      <c r="AO224" s="11">
        <v>0</v>
      </c>
      <c r="AP224" s="11">
        <v>0</v>
      </c>
      <c r="AQ224" s="11">
        <v>0</v>
      </c>
      <c r="AR224" s="10">
        <v>0</v>
      </c>
      <c r="AS224" s="10">
        <v>0</v>
      </c>
      <c r="AT224" s="10">
        <v>0</v>
      </c>
      <c r="AU224" s="10">
        <v>0</v>
      </c>
      <c r="AV224" s="10">
        <v>0</v>
      </c>
      <c r="AW224" s="10">
        <v>0</v>
      </c>
      <c r="AX224" s="10">
        <v>0</v>
      </c>
      <c r="AY224" s="10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0</v>
      </c>
      <c r="BE224" s="10">
        <v>0</v>
      </c>
      <c r="BF224" s="10">
        <v>0</v>
      </c>
      <c r="BG224" s="10">
        <v>0</v>
      </c>
      <c r="BH224" s="10">
        <v>0</v>
      </c>
      <c r="BI224" s="10">
        <v>0</v>
      </c>
      <c r="BJ224" s="10">
        <v>0</v>
      </c>
      <c r="BK224" s="10">
        <v>0</v>
      </c>
      <c r="BL224" s="10">
        <v>0</v>
      </c>
      <c r="BM224" s="10">
        <v>0</v>
      </c>
      <c r="BN224" s="10">
        <v>0</v>
      </c>
      <c r="BO224" s="10">
        <v>0</v>
      </c>
      <c r="BP224" s="12">
        <v>0</v>
      </c>
      <c r="BQ224" s="12">
        <v>0</v>
      </c>
      <c r="BR224" s="12">
        <v>0</v>
      </c>
      <c r="BS224" s="12">
        <v>0</v>
      </c>
      <c r="BT224" s="12">
        <v>0</v>
      </c>
      <c r="BU224" s="12">
        <f t="shared" si="4"/>
        <v>0</v>
      </c>
    </row>
    <row r="225" spans="1:73" x14ac:dyDescent="0.25">
      <c r="A225" s="6" t="s">
        <v>38</v>
      </c>
      <c r="B225" s="6" t="s">
        <v>18</v>
      </c>
      <c r="C225" s="18" t="s">
        <v>240</v>
      </c>
      <c r="D225" s="7" t="s">
        <v>241</v>
      </c>
      <c r="E225" s="7" t="s">
        <v>21</v>
      </c>
      <c r="F225" s="7" t="s">
        <v>242</v>
      </c>
      <c r="G225" s="7" t="s">
        <v>23</v>
      </c>
      <c r="H225" s="7" t="s">
        <v>243</v>
      </c>
      <c r="I225" s="6" t="s">
        <v>76</v>
      </c>
      <c r="J225" s="7" t="s">
        <v>244</v>
      </c>
      <c r="K225" s="6" t="s">
        <v>245</v>
      </c>
      <c r="L225" s="9"/>
      <c r="M225" s="10">
        <v>0</v>
      </c>
      <c r="N225" s="6" t="s">
        <v>297</v>
      </c>
      <c r="O225" s="11">
        <v>0</v>
      </c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0">
        <v>0</v>
      </c>
      <c r="AN225" s="10">
        <v>0</v>
      </c>
      <c r="AO225" s="11">
        <v>0</v>
      </c>
      <c r="AP225" s="11">
        <v>0</v>
      </c>
      <c r="AQ225" s="11">
        <v>0</v>
      </c>
      <c r="AR225" s="10">
        <v>0</v>
      </c>
      <c r="AS225" s="10">
        <v>0</v>
      </c>
      <c r="AT225" s="10">
        <v>0</v>
      </c>
      <c r="AU225" s="10">
        <v>0</v>
      </c>
      <c r="AV225" s="10">
        <v>0</v>
      </c>
      <c r="AW225" s="10">
        <v>0</v>
      </c>
      <c r="AX225" s="10">
        <v>0</v>
      </c>
      <c r="AY225" s="10">
        <v>0</v>
      </c>
      <c r="AZ225" s="10">
        <v>0</v>
      </c>
      <c r="BA225" s="10">
        <v>0</v>
      </c>
      <c r="BB225" s="10">
        <v>0</v>
      </c>
      <c r="BC225" s="10">
        <v>0</v>
      </c>
      <c r="BD225" s="10">
        <v>0</v>
      </c>
      <c r="BE225" s="10">
        <v>0</v>
      </c>
      <c r="BF225" s="10">
        <v>0</v>
      </c>
      <c r="BG225" s="10">
        <v>0</v>
      </c>
      <c r="BH225" s="10">
        <v>0</v>
      </c>
      <c r="BI225" s="10">
        <v>0</v>
      </c>
      <c r="BJ225" s="10">
        <v>0</v>
      </c>
      <c r="BK225" s="10">
        <v>0</v>
      </c>
      <c r="BL225" s="10">
        <v>0</v>
      </c>
      <c r="BM225" s="10">
        <v>0</v>
      </c>
      <c r="BN225" s="10">
        <v>0</v>
      </c>
      <c r="BO225" s="10">
        <v>0</v>
      </c>
      <c r="BP225" s="12">
        <v>0</v>
      </c>
      <c r="BQ225" s="12">
        <v>0</v>
      </c>
      <c r="BR225" s="12">
        <v>0</v>
      </c>
      <c r="BS225" s="12">
        <v>0</v>
      </c>
      <c r="BT225" s="12">
        <v>0</v>
      </c>
      <c r="BU225" s="12">
        <f t="shared" si="4"/>
        <v>0</v>
      </c>
    </row>
    <row r="226" spans="1:73" x14ac:dyDescent="0.25">
      <c r="A226" s="6" t="s">
        <v>96</v>
      </c>
      <c r="B226" s="6" t="s">
        <v>18</v>
      </c>
      <c r="C226" s="18" t="s">
        <v>240</v>
      </c>
      <c r="D226" s="7" t="s">
        <v>241</v>
      </c>
      <c r="E226" s="7" t="s">
        <v>21</v>
      </c>
      <c r="F226" s="7" t="s">
        <v>242</v>
      </c>
      <c r="G226" s="7" t="s">
        <v>23</v>
      </c>
      <c r="H226" s="7" t="s">
        <v>262</v>
      </c>
      <c r="I226" s="6" t="s">
        <v>76</v>
      </c>
      <c r="J226" s="7" t="s">
        <v>244</v>
      </c>
      <c r="K226" s="6" t="s">
        <v>245</v>
      </c>
      <c r="L226" s="9"/>
      <c r="M226" s="10">
        <v>0</v>
      </c>
      <c r="N226" s="6" t="s">
        <v>297</v>
      </c>
      <c r="O226" s="11">
        <v>0</v>
      </c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0">
        <v>0</v>
      </c>
      <c r="AN226" s="10">
        <v>0</v>
      </c>
      <c r="AO226" s="11">
        <v>0</v>
      </c>
      <c r="AP226" s="11">
        <v>0</v>
      </c>
      <c r="AQ226" s="11">
        <v>0</v>
      </c>
      <c r="AR226" s="10">
        <v>0</v>
      </c>
      <c r="AS226" s="10">
        <v>0</v>
      </c>
      <c r="AT226" s="10">
        <v>0</v>
      </c>
      <c r="AU226" s="10">
        <v>0</v>
      </c>
      <c r="AV226" s="10">
        <v>0</v>
      </c>
      <c r="AW226" s="10">
        <v>0</v>
      </c>
      <c r="AX226" s="10">
        <v>0</v>
      </c>
      <c r="AY226" s="10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10">
        <v>0</v>
      </c>
      <c r="BG226" s="10">
        <v>0</v>
      </c>
      <c r="BH226" s="10">
        <v>0</v>
      </c>
      <c r="BI226" s="10">
        <v>0</v>
      </c>
      <c r="BJ226" s="10">
        <v>0</v>
      </c>
      <c r="BK226" s="10">
        <v>0</v>
      </c>
      <c r="BL226" s="10">
        <v>0</v>
      </c>
      <c r="BM226" s="10">
        <v>0</v>
      </c>
      <c r="BN226" s="10">
        <v>0</v>
      </c>
      <c r="BO226" s="10">
        <v>0</v>
      </c>
      <c r="BP226" s="12">
        <v>0</v>
      </c>
      <c r="BQ226" s="12">
        <v>0</v>
      </c>
      <c r="BR226" s="12">
        <v>0</v>
      </c>
      <c r="BS226" s="12">
        <v>0</v>
      </c>
      <c r="BT226" s="12">
        <v>0</v>
      </c>
      <c r="BU226" s="12">
        <f t="shared" si="4"/>
        <v>0</v>
      </c>
    </row>
    <row r="227" spans="1:73" x14ac:dyDescent="0.25">
      <c r="A227" s="6" t="s">
        <v>40</v>
      </c>
      <c r="B227" s="6" t="s">
        <v>18</v>
      </c>
      <c r="C227" s="18" t="s">
        <v>240</v>
      </c>
      <c r="D227" s="7" t="s">
        <v>241</v>
      </c>
      <c r="E227" s="7" t="s">
        <v>21</v>
      </c>
      <c r="F227" s="7" t="s">
        <v>242</v>
      </c>
      <c r="G227" s="7" t="s">
        <v>23</v>
      </c>
      <c r="H227" s="7" t="s">
        <v>256</v>
      </c>
      <c r="I227" s="6" t="s">
        <v>76</v>
      </c>
      <c r="J227" s="7" t="s">
        <v>244</v>
      </c>
      <c r="K227" s="6" t="s">
        <v>245</v>
      </c>
      <c r="L227" s="9"/>
      <c r="M227" s="10">
        <v>0</v>
      </c>
      <c r="N227" s="6" t="s">
        <v>297</v>
      </c>
      <c r="O227" s="11">
        <v>0</v>
      </c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0">
        <v>0</v>
      </c>
      <c r="AN227" s="10">
        <v>0</v>
      </c>
      <c r="AO227" s="11">
        <v>0</v>
      </c>
      <c r="AP227" s="11">
        <v>0</v>
      </c>
      <c r="AQ227" s="11">
        <v>0</v>
      </c>
      <c r="AR227" s="10">
        <v>0</v>
      </c>
      <c r="AS227" s="10">
        <v>0</v>
      </c>
      <c r="AT227" s="10">
        <v>0</v>
      </c>
      <c r="AU227" s="10">
        <v>0</v>
      </c>
      <c r="AV227" s="10">
        <v>0</v>
      </c>
      <c r="AW227" s="10">
        <v>0</v>
      </c>
      <c r="AX227" s="10">
        <v>0</v>
      </c>
      <c r="AY227" s="10">
        <v>0</v>
      </c>
      <c r="AZ227" s="10">
        <v>0</v>
      </c>
      <c r="BA227" s="10">
        <v>0</v>
      </c>
      <c r="BB227" s="10">
        <v>0</v>
      </c>
      <c r="BC227" s="10">
        <v>0</v>
      </c>
      <c r="BD227" s="10">
        <v>0</v>
      </c>
      <c r="BE227" s="10">
        <v>0</v>
      </c>
      <c r="BF227" s="10">
        <v>0</v>
      </c>
      <c r="BG227" s="10">
        <v>0</v>
      </c>
      <c r="BH227" s="10">
        <v>0</v>
      </c>
      <c r="BI227" s="10">
        <v>0</v>
      </c>
      <c r="BJ227" s="10">
        <v>0</v>
      </c>
      <c r="BK227" s="10">
        <v>0</v>
      </c>
      <c r="BL227" s="10">
        <v>0</v>
      </c>
      <c r="BM227" s="10">
        <v>0</v>
      </c>
      <c r="BN227" s="10">
        <v>0</v>
      </c>
      <c r="BO227" s="10">
        <v>0</v>
      </c>
      <c r="BP227" s="12">
        <v>0</v>
      </c>
      <c r="BQ227" s="12">
        <v>0</v>
      </c>
      <c r="BR227" s="12">
        <v>0</v>
      </c>
      <c r="BS227" s="12">
        <v>0</v>
      </c>
      <c r="BT227" s="12">
        <v>0</v>
      </c>
      <c r="BU227" s="12">
        <f t="shared" si="4"/>
        <v>0</v>
      </c>
    </row>
    <row r="228" spans="1:73" x14ac:dyDescent="0.25">
      <c r="A228" s="6" t="s">
        <v>98</v>
      </c>
      <c r="B228" s="6" t="s">
        <v>18</v>
      </c>
      <c r="C228" s="18" t="s">
        <v>240</v>
      </c>
      <c r="D228" s="7" t="s">
        <v>241</v>
      </c>
      <c r="E228" s="7" t="s">
        <v>21</v>
      </c>
      <c r="F228" s="7" t="s">
        <v>242</v>
      </c>
      <c r="G228" s="7" t="s">
        <v>23</v>
      </c>
      <c r="H228" s="7" t="s">
        <v>257</v>
      </c>
      <c r="I228" s="6" t="s">
        <v>76</v>
      </c>
      <c r="J228" s="7" t="s">
        <v>244</v>
      </c>
      <c r="K228" s="6" t="s">
        <v>245</v>
      </c>
      <c r="L228" s="9"/>
      <c r="M228" s="10">
        <v>0</v>
      </c>
      <c r="N228" s="6" t="s">
        <v>297</v>
      </c>
      <c r="O228" s="11">
        <v>0</v>
      </c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0">
        <v>0</v>
      </c>
      <c r="AN228" s="10">
        <v>0</v>
      </c>
      <c r="AO228" s="11">
        <v>0</v>
      </c>
      <c r="AP228" s="11">
        <v>0</v>
      </c>
      <c r="AQ228" s="11">
        <v>0</v>
      </c>
      <c r="AR228" s="10">
        <v>0</v>
      </c>
      <c r="AS228" s="10">
        <v>0</v>
      </c>
      <c r="AT228" s="10">
        <v>0</v>
      </c>
      <c r="AU228" s="10">
        <v>0</v>
      </c>
      <c r="AV228" s="10">
        <v>0</v>
      </c>
      <c r="AW228" s="10">
        <v>0</v>
      </c>
      <c r="AX228" s="10">
        <v>0</v>
      </c>
      <c r="AY228" s="10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10">
        <v>0</v>
      </c>
      <c r="BG228" s="10">
        <v>0</v>
      </c>
      <c r="BH228" s="10">
        <v>0</v>
      </c>
      <c r="BI228" s="10">
        <v>0</v>
      </c>
      <c r="BJ228" s="10">
        <v>0</v>
      </c>
      <c r="BK228" s="10">
        <v>0</v>
      </c>
      <c r="BL228" s="10">
        <v>0</v>
      </c>
      <c r="BM228" s="10">
        <v>0</v>
      </c>
      <c r="BN228" s="10">
        <v>0</v>
      </c>
      <c r="BO228" s="10">
        <v>0</v>
      </c>
      <c r="BP228" s="12">
        <v>0</v>
      </c>
      <c r="BQ228" s="12">
        <v>0</v>
      </c>
      <c r="BR228" s="12">
        <v>0</v>
      </c>
      <c r="BS228" s="12">
        <v>0</v>
      </c>
      <c r="BT228" s="12">
        <v>0</v>
      </c>
      <c r="BU228" s="12">
        <f t="shared" si="4"/>
        <v>0</v>
      </c>
    </row>
    <row r="229" spans="1:73" x14ac:dyDescent="0.25">
      <c r="A229" s="6" t="s">
        <v>258</v>
      </c>
      <c r="B229" s="6" t="s">
        <v>18</v>
      </c>
      <c r="C229" s="18" t="s">
        <v>240</v>
      </c>
      <c r="D229" s="7" t="s">
        <v>241</v>
      </c>
      <c r="E229" s="7" t="s">
        <v>21</v>
      </c>
      <c r="F229" s="7" t="s">
        <v>242</v>
      </c>
      <c r="G229" s="7" t="s">
        <v>23</v>
      </c>
      <c r="H229" s="7" t="s">
        <v>259</v>
      </c>
      <c r="I229" s="6" t="s">
        <v>76</v>
      </c>
      <c r="J229" s="7" t="s">
        <v>244</v>
      </c>
      <c r="K229" s="6" t="s">
        <v>245</v>
      </c>
      <c r="L229" s="9"/>
      <c r="M229" s="10">
        <v>0</v>
      </c>
      <c r="N229" s="6" t="s">
        <v>297</v>
      </c>
      <c r="O229" s="11">
        <v>0</v>
      </c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0">
        <v>0</v>
      </c>
      <c r="AN229" s="10">
        <v>0</v>
      </c>
      <c r="AO229" s="11">
        <v>0</v>
      </c>
      <c r="AP229" s="11">
        <v>0</v>
      </c>
      <c r="AQ229" s="11">
        <v>0</v>
      </c>
      <c r="AR229" s="10">
        <v>0</v>
      </c>
      <c r="AS229" s="10">
        <v>0</v>
      </c>
      <c r="AT229" s="10">
        <v>0</v>
      </c>
      <c r="AU229" s="10">
        <v>0</v>
      </c>
      <c r="AV229" s="10">
        <v>0</v>
      </c>
      <c r="AW229" s="10">
        <v>0</v>
      </c>
      <c r="AX229" s="10">
        <v>0</v>
      </c>
      <c r="AY229" s="10">
        <v>0</v>
      </c>
      <c r="AZ229" s="10">
        <v>0</v>
      </c>
      <c r="BA229" s="10">
        <v>0</v>
      </c>
      <c r="BB229" s="10">
        <v>0</v>
      </c>
      <c r="BC229" s="10">
        <v>0</v>
      </c>
      <c r="BD229" s="10">
        <v>0</v>
      </c>
      <c r="BE229" s="10">
        <v>0</v>
      </c>
      <c r="BF229" s="10">
        <v>0</v>
      </c>
      <c r="BG229" s="10">
        <v>0</v>
      </c>
      <c r="BH229" s="10">
        <v>0</v>
      </c>
      <c r="BI229" s="10">
        <v>0</v>
      </c>
      <c r="BJ229" s="10">
        <v>0</v>
      </c>
      <c r="BK229" s="10">
        <v>0</v>
      </c>
      <c r="BL229" s="10">
        <v>0</v>
      </c>
      <c r="BM229" s="10">
        <v>0</v>
      </c>
      <c r="BN229" s="10">
        <v>0</v>
      </c>
      <c r="BO229" s="10">
        <v>0</v>
      </c>
      <c r="BP229" s="12">
        <v>0</v>
      </c>
      <c r="BQ229" s="12">
        <v>0</v>
      </c>
      <c r="BR229" s="12">
        <v>0</v>
      </c>
      <c r="BS229" s="12">
        <v>0</v>
      </c>
      <c r="BT229" s="12">
        <v>0</v>
      </c>
      <c r="BU229" s="12">
        <f t="shared" si="4"/>
        <v>0</v>
      </c>
    </row>
    <row r="230" spans="1:73" x14ac:dyDescent="0.25">
      <c r="A230" s="6" t="s">
        <v>42</v>
      </c>
      <c r="B230" s="6" t="s">
        <v>18</v>
      </c>
      <c r="C230" s="18" t="s">
        <v>240</v>
      </c>
      <c r="D230" s="7" t="s">
        <v>241</v>
      </c>
      <c r="E230" s="7" t="s">
        <v>21</v>
      </c>
      <c r="F230" s="7" t="s">
        <v>242</v>
      </c>
      <c r="G230" s="7" t="s">
        <v>23</v>
      </c>
      <c r="H230" s="7" t="s">
        <v>260</v>
      </c>
      <c r="I230" s="6" t="s">
        <v>76</v>
      </c>
      <c r="J230" s="7" t="s">
        <v>244</v>
      </c>
      <c r="K230" s="6" t="s">
        <v>245</v>
      </c>
      <c r="L230" s="9"/>
      <c r="M230" s="10">
        <v>0</v>
      </c>
      <c r="N230" s="6" t="s">
        <v>297</v>
      </c>
      <c r="O230" s="11">
        <v>0</v>
      </c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0">
        <v>0</v>
      </c>
      <c r="AN230" s="10">
        <v>0</v>
      </c>
      <c r="AO230" s="11">
        <v>0</v>
      </c>
      <c r="AP230" s="11">
        <v>0</v>
      </c>
      <c r="AQ230" s="11">
        <v>0</v>
      </c>
      <c r="AR230" s="10">
        <v>0</v>
      </c>
      <c r="AS230" s="10">
        <v>0</v>
      </c>
      <c r="AT230" s="10">
        <v>0</v>
      </c>
      <c r="AU230" s="10">
        <v>0</v>
      </c>
      <c r="AV230" s="10">
        <v>0</v>
      </c>
      <c r="AW230" s="10">
        <v>0</v>
      </c>
      <c r="AX230" s="10">
        <v>0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10">
        <v>0</v>
      </c>
      <c r="BG230" s="10">
        <v>0</v>
      </c>
      <c r="BH230" s="10">
        <v>0</v>
      </c>
      <c r="BI230" s="10">
        <v>0</v>
      </c>
      <c r="BJ230" s="10">
        <v>0</v>
      </c>
      <c r="BK230" s="10">
        <v>0</v>
      </c>
      <c r="BL230" s="10">
        <v>0</v>
      </c>
      <c r="BM230" s="10">
        <v>0</v>
      </c>
      <c r="BN230" s="10">
        <v>0</v>
      </c>
      <c r="BO230" s="10">
        <v>0</v>
      </c>
      <c r="BP230" s="12">
        <v>0</v>
      </c>
      <c r="BQ230" s="12">
        <v>0</v>
      </c>
      <c r="BR230" s="12">
        <v>0</v>
      </c>
      <c r="BS230" s="12">
        <v>0</v>
      </c>
      <c r="BT230" s="12">
        <v>0</v>
      </c>
      <c r="BU230" s="12">
        <f t="shared" si="4"/>
        <v>0</v>
      </c>
    </row>
    <row r="231" spans="1:73" x14ac:dyDescent="0.25">
      <c r="A231" s="6" t="s">
        <v>17</v>
      </c>
      <c r="B231" s="6" t="s">
        <v>18</v>
      </c>
      <c r="C231" s="18" t="s">
        <v>240</v>
      </c>
      <c r="D231" s="7" t="s">
        <v>241</v>
      </c>
      <c r="E231" s="7" t="s">
        <v>21</v>
      </c>
      <c r="F231" s="7" t="s">
        <v>242</v>
      </c>
      <c r="G231" s="7" t="s">
        <v>23</v>
      </c>
      <c r="H231" s="7" t="s">
        <v>254</v>
      </c>
      <c r="I231" s="6" t="s">
        <v>76</v>
      </c>
      <c r="J231" s="7" t="s">
        <v>244</v>
      </c>
      <c r="K231" s="6" t="s">
        <v>245</v>
      </c>
      <c r="L231" s="9"/>
      <c r="M231" s="10">
        <v>0</v>
      </c>
      <c r="N231" s="6" t="s">
        <v>298</v>
      </c>
      <c r="O231" s="11">
        <v>0</v>
      </c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0">
        <v>0</v>
      </c>
      <c r="AN231" s="10">
        <v>0</v>
      </c>
      <c r="AO231" s="11">
        <v>0</v>
      </c>
      <c r="AP231" s="11">
        <v>0</v>
      </c>
      <c r="AQ231" s="11">
        <v>0</v>
      </c>
      <c r="AR231" s="10">
        <v>0</v>
      </c>
      <c r="AS231" s="10">
        <v>0</v>
      </c>
      <c r="AT231" s="10">
        <v>0</v>
      </c>
      <c r="AU231" s="10">
        <v>0</v>
      </c>
      <c r="AV231" s="10">
        <v>0</v>
      </c>
      <c r="AW231" s="10">
        <v>0</v>
      </c>
      <c r="AX231" s="10">
        <v>0</v>
      </c>
      <c r="AY231" s="10">
        <v>0</v>
      </c>
      <c r="AZ231" s="10">
        <v>0</v>
      </c>
      <c r="BA231" s="10">
        <v>0</v>
      </c>
      <c r="BB231" s="10">
        <v>0</v>
      </c>
      <c r="BC231" s="10">
        <v>0</v>
      </c>
      <c r="BD231" s="10">
        <v>0</v>
      </c>
      <c r="BE231" s="10">
        <v>0</v>
      </c>
      <c r="BF231" s="10">
        <v>0</v>
      </c>
      <c r="BG231" s="10">
        <v>0</v>
      </c>
      <c r="BH231" s="10">
        <v>0</v>
      </c>
      <c r="BI231" s="10">
        <v>0</v>
      </c>
      <c r="BJ231" s="10">
        <v>0</v>
      </c>
      <c r="BK231" s="10">
        <v>0</v>
      </c>
      <c r="BL231" s="10">
        <v>0</v>
      </c>
      <c r="BM231" s="10">
        <v>0</v>
      </c>
      <c r="BN231" s="10">
        <v>0</v>
      </c>
      <c r="BO231" s="10">
        <v>0</v>
      </c>
      <c r="BP231" s="12">
        <v>0</v>
      </c>
      <c r="BQ231" s="12">
        <v>0</v>
      </c>
      <c r="BR231" s="12">
        <v>0</v>
      </c>
      <c r="BS231" s="12">
        <v>0</v>
      </c>
      <c r="BT231" s="12">
        <v>0</v>
      </c>
      <c r="BU231" s="12">
        <f t="shared" si="4"/>
        <v>0</v>
      </c>
    </row>
    <row r="232" spans="1:73" x14ac:dyDescent="0.25">
      <c r="A232" s="6" t="s">
        <v>28</v>
      </c>
      <c r="B232" s="6" t="s">
        <v>18</v>
      </c>
      <c r="C232" s="18" t="s">
        <v>240</v>
      </c>
      <c r="D232" s="7" t="s">
        <v>241</v>
      </c>
      <c r="E232" s="7" t="s">
        <v>21</v>
      </c>
      <c r="F232" s="7" t="s">
        <v>242</v>
      </c>
      <c r="G232" s="7" t="s">
        <v>23</v>
      </c>
      <c r="H232" s="7" t="s">
        <v>247</v>
      </c>
      <c r="I232" s="6" t="s">
        <v>76</v>
      </c>
      <c r="J232" s="7" t="s">
        <v>244</v>
      </c>
      <c r="K232" s="6" t="s">
        <v>245</v>
      </c>
      <c r="L232" s="9"/>
      <c r="M232" s="10">
        <v>0</v>
      </c>
      <c r="N232" s="6" t="s">
        <v>298</v>
      </c>
      <c r="O232" s="11">
        <v>0</v>
      </c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0">
        <v>0</v>
      </c>
      <c r="AN232" s="10">
        <v>0</v>
      </c>
      <c r="AO232" s="11">
        <v>0</v>
      </c>
      <c r="AP232" s="11">
        <v>0</v>
      </c>
      <c r="AQ232" s="11">
        <v>0</v>
      </c>
      <c r="AR232" s="10">
        <v>0</v>
      </c>
      <c r="AS232" s="10">
        <v>0</v>
      </c>
      <c r="AT232" s="10">
        <v>0</v>
      </c>
      <c r="AU232" s="10">
        <v>0</v>
      </c>
      <c r="AV232" s="10">
        <v>0</v>
      </c>
      <c r="AW232" s="10">
        <v>0</v>
      </c>
      <c r="AX232" s="10">
        <v>0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10">
        <v>0</v>
      </c>
      <c r="BG232" s="10">
        <v>0</v>
      </c>
      <c r="BH232" s="10">
        <v>0</v>
      </c>
      <c r="BI232" s="10">
        <v>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  <c r="BP232" s="12">
        <v>0</v>
      </c>
      <c r="BQ232" s="12">
        <v>0</v>
      </c>
      <c r="BR232" s="12">
        <v>0</v>
      </c>
      <c r="BS232" s="12">
        <v>0</v>
      </c>
      <c r="BT232" s="12">
        <v>0</v>
      </c>
      <c r="BU232" s="12">
        <f t="shared" si="4"/>
        <v>0</v>
      </c>
    </row>
    <row r="233" spans="1:73" x14ac:dyDescent="0.25">
      <c r="A233" s="6" t="s">
        <v>30</v>
      </c>
      <c r="B233" s="6" t="s">
        <v>18</v>
      </c>
      <c r="C233" s="18" t="s">
        <v>240</v>
      </c>
      <c r="D233" s="7" t="s">
        <v>241</v>
      </c>
      <c r="E233" s="7" t="s">
        <v>21</v>
      </c>
      <c r="F233" s="7" t="s">
        <v>242</v>
      </c>
      <c r="G233" s="7" t="s">
        <v>23</v>
      </c>
      <c r="H233" s="7" t="s">
        <v>249</v>
      </c>
      <c r="I233" s="6" t="s">
        <v>76</v>
      </c>
      <c r="J233" s="7" t="s">
        <v>244</v>
      </c>
      <c r="K233" s="6" t="s">
        <v>245</v>
      </c>
      <c r="L233" s="9"/>
      <c r="M233" s="10">
        <v>0</v>
      </c>
      <c r="N233" s="6" t="s">
        <v>298</v>
      </c>
      <c r="O233" s="11">
        <v>0</v>
      </c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0">
        <v>0</v>
      </c>
      <c r="AN233" s="10">
        <v>0</v>
      </c>
      <c r="AO233" s="11">
        <v>0</v>
      </c>
      <c r="AP233" s="11">
        <v>0</v>
      </c>
      <c r="AQ233" s="11">
        <v>0</v>
      </c>
      <c r="AR233" s="10">
        <v>0</v>
      </c>
      <c r="AS233" s="10">
        <v>0</v>
      </c>
      <c r="AT233" s="10">
        <v>0</v>
      </c>
      <c r="AU233" s="10">
        <v>0</v>
      </c>
      <c r="AV233" s="10">
        <v>0</v>
      </c>
      <c r="AW233" s="10">
        <v>0</v>
      </c>
      <c r="AX233" s="10">
        <v>0</v>
      </c>
      <c r="AY233" s="10">
        <v>0</v>
      </c>
      <c r="AZ233" s="10">
        <v>0</v>
      </c>
      <c r="BA233" s="10">
        <v>0</v>
      </c>
      <c r="BB233" s="10">
        <v>0</v>
      </c>
      <c r="BC233" s="10">
        <v>0</v>
      </c>
      <c r="BD233" s="10">
        <v>0</v>
      </c>
      <c r="BE233" s="10">
        <v>0</v>
      </c>
      <c r="BF233" s="10">
        <v>0</v>
      </c>
      <c r="BG233" s="10">
        <v>0</v>
      </c>
      <c r="BH233" s="10">
        <v>0</v>
      </c>
      <c r="BI233" s="10">
        <v>0</v>
      </c>
      <c r="BJ233" s="10">
        <v>0</v>
      </c>
      <c r="BK233" s="10">
        <v>0</v>
      </c>
      <c r="BL233" s="10">
        <v>0</v>
      </c>
      <c r="BM233" s="10">
        <v>0</v>
      </c>
      <c r="BN233" s="10">
        <v>0</v>
      </c>
      <c r="BO233" s="10">
        <v>0</v>
      </c>
      <c r="BP233" s="12">
        <v>0</v>
      </c>
      <c r="BQ233" s="12">
        <v>0</v>
      </c>
      <c r="BR233" s="12">
        <v>0</v>
      </c>
      <c r="BS233" s="12">
        <v>0</v>
      </c>
      <c r="BT233" s="12">
        <v>0</v>
      </c>
      <c r="BU233" s="12">
        <f t="shared" si="4"/>
        <v>0</v>
      </c>
    </row>
    <row r="234" spans="1:73" x14ac:dyDescent="0.25">
      <c r="A234" s="6" t="s">
        <v>32</v>
      </c>
      <c r="B234" s="6" t="s">
        <v>18</v>
      </c>
      <c r="C234" s="18" t="s">
        <v>240</v>
      </c>
      <c r="D234" s="7" t="s">
        <v>241</v>
      </c>
      <c r="E234" s="7" t="s">
        <v>21</v>
      </c>
      <c r="F234" s="7" t="s">
        <v>242</v>
      </c>
      <c r="G234" s="7" t="s">
        <v>23</v>
      </c>
      <c r="H234" s="7" t="s">
        <v>250</v>
      </c>
      <c r="I234" s="6" t="s">
        <v>76</v>
      </c>
      <c r="J234" s="7" t="s">
        <v>244</v>
      </c>
      <c r="K234" s="6" t="s">
        <v>245</v>
      </c>
      <c r="L234" s="9"/>
      <c r="M234" s="10">
        <v>0</v>
      </c>
      <c r="N234" s="6" t="s">
        <v>298</v>
      </c>
      <c r="O234" s="11">
        <v>0</v>
      </c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0">
        <v>0</v>
      </c>
      <c r="AN234" s="10">
        <v>0</v>
      </c>
      <c r="AO234" s="11">
        <v>0</v>
      </c>
      <c r="AP234" s="11">
        <v>0</v>
      </c>
      <c r="AQ234" s="11">
        <v>0</v>
      </c>
      <c r="AR234" s="10">
        <v>0</v>
      </c>
      <c r="AS234" s="10">
        <v>0</v>
      </c>
      <c r="AT234" s="10">
        <v>0</v>
      </c>
      <c r="AU234" s="10">
        <v>0</v>
      </c>
      <c r="AV234" s="10">
        <v>0</v>
      </c>
      <c r="AW234" s="10">
        <v>0</v>
      </c>
      <c r="AX234" s="10">
        <v>0</v>
      </c>
      <c r="AY234" s="10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10">
        <v>0</v>
      </c>
      <c r="BG234" s="10">
        <v>0</v>
      </c>
      <c r="BH234" s="10">
        <v>0</v>
      </c>
      <c r="BI234" s="10">
        <v>0</v>
      </c>
      <c r="BJ234" s="10">
        <v>0</v>
      </c>
      <c r="BK234" s="10">
        <v>0</v>
      </c>
      <c r="BL234" s="10">
        <v>0</v>
      </c>
      <c r="BM234" s="10">
        <v>0</v>
      </c>
      <c r="BN234" s="10">
        <v>0</v>
      </c>
      <c r="BO234" s="10">
        <v>0</v>
      </c>
      <c r="BP234" s="12">
        <v>0</v>
      </c>
      <c r="BQ234" s="12">
        <v>0</v>
      </c>
      <c r="BR234" s="12">
        <v>0</v>
      </c>
      <c r="BS234" s="12">
        <v>0</v>
      </c>
      <c r="BT234" s="12">
        <v>0</v>
      </c>
      <c r="BU234" s="12">
        <f t="shared" si="4"/>
        <v>0</v>
      </c>
    </row>
    <row r="235" spans="1:73" x14ac:dyDescent="0.25">
      <c r="A235" s="6" t="s">
        <v>34</v>
      </c>
      <c r="B235" s="6" t="s">
        <v>18</v>
      </c>
      <c r="C235" s="18" t="s">
        <v>240</v>
      </c>
      <c r="D235" s="7" t="s">
        <v>241</v>
      </c>
      <c r="E235" s="7" t="s">
        <v>21</v>
      </c>
      <c r="F235" s="7" t="s">
        <v>242</v>
      </c>
      <c r="G235" s="7" t="s">
        <v>23</v>
      </c>
      <c r="H235" s="7" t="s">
        <v>251</v>
      </c>
      <c r="I235" s="6" t="s">
        <v>76</v>
      </c>
      <c r="J235" s="7" t="s">
        <v>244</v>
      </c>
      <c r="K235" s="6" t="s">
        <v>245</v>
      </c>
      <c r="L235" s="9"/>
      <c r="M235" s="10">
        <v>0</v>
      </c>
      <c r="N235" s="6" t="s">
        <v>298</v>
      </c>
      <c r="O235" s="11">
        <v>0</v>
      </c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0">
        <v>0</v>
      </c>
      <c r="AN235" s="10">
        <v>0</v>
      </c>
      <c r="AO235" s="11">
        <v>0</v>
      </c>
      <c r="AP235" s="11">
        <v>0</v>
      </c>
      <c r="AQ235" s="11">
        <v>0</v>
      </c>
      <c r="AR235" s="10">
        <v>0</v>
      </c>
      <c r="AS235" s="10">
        <v>0</v>
      </c>
      <c r="AT235" s="10">
        <v>0</v>
      </c>
      <c r="AU235" s="10">
        <v>0</v>
      </c>
      <c r="AV235" s="10">
        <v>0</v>
      </c>
      <c r="AW235" s="10">
        <v>0</v>
      </c>
      <c r="AX235" s="10">
        <v>0</v>
      </c>
      <c r="AY235" s="10">
        <v>0</v>
      </c>
      <c r="AZ235" s="10">
        <v>0</v>
      </c>
      <c r="BA235" s="10">
        <v>0</v>
      </c>
      <c r="BB235" s="10">
        <v>0</v>
      </c>
      <c r="BC235" s="10">
        <v>0</v>
      </c>
      <c r="BD235" s="10">
        <v>0</v>
      </c>
      <c r="BE235" s="10">
        <v>0</v>
      </c>
      <c r="BF235" s="10">
        <v>0</v>
      </c>
      <c r="BG235" s="10">
        <v>0</v>
      </c>
      <c r="BH235" s="10">
        <v>0</v>
      </c>
      <c r="BI235" s="10">
        <v>0</v>
      </c>
      <c r="BJ235" s="10">
        <v>0</v>
      </c>
      <c r="BK235" s="10">
        <v>0</v>
      </c>
      <c r="BL235" s="10">
        <v>0</v>
      </c>
      <c r="BM235" s="10">
        <v>0</v>
      </c>
      <c r="BN235" s="10">
        <v>0</v>
      </c>
      <c r="BO235" s="10">
        <v>0</v>
      </c>
      <c r="BP235" s="12">
        <v>0</v>
      </c>
      <c r="BQ235" s="12">
        <v>0</v>
      </c>
      <c r="BR235" s="12">
        <v>0</v>
      </c>
      <c r="BS235" s="12">
        <v>0</v>
      </c>
      <c r="BT235" s="12">
        <v>0</v>
      </c>
      <c r="BU235" s="12">
        <f t="shared" si="4"/>
        <v>0</v>
      </c>
    </row>
    <row r="236" spans="1:73" x14ac:dyDescent="0.25">
      <c r="A236" s="6" t="s">
        <v>38</v>
      </c>
      <c r="B236" s="6" t="s">
        <v>18</v>
      </c>
      <c r="C236" s="18" t="s">
        <v>240</v>
      </c>
      <c r="D236" s="7" t="s">
        <v>241</v>
      </c>
      <c r="E236" s="7" t="s">
        <v>21</v>
      </c>
      <c r="F236" s="7" t="s">
        <v>242</v>
      </c>
      <c r="G236" s="7" t="s">
        <v>23</v>
      </c>
      <c r="H236" s="7" t="s">
        <v>243</v>
      </c>
      <c r="I236" s="6" t="s">
        <v>76</v>
      </c>
      <c r="J236" s="7" t="s">
        <v>244</v>
      </c>
      <c r="K236" s="6" t="s">
        <v>245</v>
      </c>
      <c r="L236" s="9"/>
      <c r="M236" s="10">
        <v>0</v>
      </c>
      <c r="N236" s="6" t="s">
        <v>298</v>
      </c>
      <c r="O236" s="11">
        <v>0</v>
      </c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0">
        <v>0</v>
      </c>
      <c r="AN236" s="10">
        <v>0</v>
      </c>
      <c r="AO236" s="11">
        <v>0</v>
      </c>
      <c r="AP236" s="11">
        <v>0</v>
      </c>
      <c r="AQ236" s="11">
        <v>0</v>
      </c>
      <c r="AR236" s="10">
        <v>0</v>
      </c>
      <c r="AS236" s="10">
        <v>0</v>
      </c>
      <c r="AT236" s="10">
        <v>0</v>
      </c>
      <c r="AU236" s="10">
        <v>0</v>
      </c>
      <c r="AV236" s="10">
        <v>0</v>
      </c>
      <c r="AW236" s="10">
        <v>0</v>
      </c>
      <c r="AX236" s="10">
        <v>0</v>
      </c>
      <c r="AY236" s="10">
        <v>0</v>
      </c>
      <c r="AZ236" s="10">
        <v>0</v>
      </c>
      <c r="BA236" s="10">
        <v>0</v>
      </c>
      <c r="BB236" s="10">
        <v>0</v>
      </c>
      <c r="BC236" s="10">
        <v>0</v>
      </c>
      <c r="BD236" s="10">
        <v>0</v>
      </c>
      <c r="BE236" s="10">
        <v>0</v>
      </c>
      <c r="BF236" s="10">
        <v>0</v>
      </c>
      <c r="BG236" s="10">
        <v>0</v>
      </c>
      <c r="BH236" s="10">
        <v>0</v>
      </c>
      <c r="BI236" s="10">
        <v>0</v>
      </c>
      <c r="BJ236" s="10">
        <v>0</v>
      </c>
      <c r="BK236" s="10">
        <v>0</v>
      </c>
      <c r="BL236" s="10">
        <v>0</v>
      </c>
      <c r="BM236" s="10">
        <v>0</v>
      </c>
      <c r="BN236" s="10">
        <v>0</v>
      </c>
      <c r="BO236" s="10">
        <v>0</v>
      </c>
      <c r="BP236" s="12">
        <v>0</v>
      </c>
      <c r="BQ236" s="12">
        <v>0</v>
      </c>
      <c r="BR236" s="12">
        <v>0</v>
      </c>
      <c r="BS236" s="12">
        <v>0</v>
      </c>
      <c r="BT236" s="12">
        <v>0</v>
      </c>
      <c r="BU236" s="12">
        <f t="shared" si="4"/>
        <v>0</v>
      </c>
    </row>
    <row r="237" spans="1:73" x14ac:dyDescent="0.25">
      <c r="A237" s="6" t="s">
        <v>96</v>
      </c>
      <c r="B237" s="6" t="s">
        <v>18</v>
      </c>
      <c r="C237" s="18" t="s">
        <v>240</v>
      </c>
      <c r="D237" s="7" t="s">
        <v>241</v>
      </c>
      <c r="E237" s="7" t="s">
        <v>21</v>
      </c>
      <c r="F237" s="7" t="s">
        <v>242</v>
      </c>
      <c r="G237" s="7" t="s">
        <v>23</v>
      </c>
      <c r="H237" s="7" t="s">
        <v>262</v>
      </c>
      <c r="I237" s="6" t="s">
        <v>76</v>
      </c>
      <c r="J237" s="7" t="s">
        <v>244</v>
      </c>
      <c r="K237" s="6" t="s">
        <v>245</v>
      </c>
      <c r="L237" s="9"/>
      <c r="M237" s="10">
        <v>0</v>
      </c>
      <c r="N237" s="6" t="s">
        <v>298</v>
      </c>
      <c r="O237" s="11">
        <v>0</v>
      </c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0">
        <v>0</v>
      </c>
      <c r="AN237" s="10">
        <v>0</v>
      </c>
      <c r="AO237" s="11">
        <v>0</v>
      </c>
      <c r="AP237" s="11">
        <v>0</v>
      </c>
      <c r="AQ237" s="11">
        <v>0</v>
      </c>
      <c r="AR237" s="10">
        <v>0</v>
      </c>
      <c r="AS237" s="10">
        <v>0</v>
      </c>
      <c r="AT237" s="10">
        <v>0</v>
      </c>
      <c r="AU237" s="10">
        <v>0</v>
      </c>
      <c r="AV237" s="10">
        <v>0</v>
      </c>
      <c r="AW237" s="10">
        <v>0</v>
      </c>
      <c r="AX237" s="10">
        <v>0</v>
      </c>
      <c r="AY237" s="10">
        <v>0</v>
      </c>
      <c r="AZ237" s="10">
        <v>0</v>
      </c>
      <c r="BA237" s="10">
        <v>0</v>
      </c>
      <c r="BB237" s="10">
        <v>0</v>
      </c>
      <c r="BC237" s="10">
        <v>0</v>
      </c>
      <c r="BD237" s="10">
        <v>0</v>
      </c>
      <c r="BE237" s="10">
        <v>0</v>
      </c>
      <c r="BF237" s="10">
        <v>0</v>
      </c>
      <c r="BG237" s="10">
        <v>0</v>
      </c>
      <c r="BH237" s="10">
        <v>0</v>
      </c>
      <c r="BI237" s="10">
        <v>0</v>
      </c>
      <c r="BJ237" s="10">
        <v>0</v>
      </c>
      <c r="BK237" s="10">
        <v>0</v>
      </c>
      <c r="BL237" s="10">
        <v>0</v>
      </c>
      <c r="BM237" s="10">
        <v>0</v>
      </c>
      <c r="BN237" s="10">
        <v>0</v>
      </c>
      <c r="BO237" s="10">
        <v>0</v>
      </c>
      <c r="BP237" s="12">
        <v>0</v>
      </c>
      <c r="BQ237" s="12">
        <v>0</v>
      </c>
      <c r="BR237" s="12">
        <v>0</v>
      </c>
      <c r="BS237" s="12">
        <v>0</v>
      </c>
      <c r="BT237" s="12">
        <v>0</v>
      </c>
      <c r="BU237" s="12">
        <f t="shared" si="4"/>
        <v>0</v>
      </c>
    </row>
    <row r="238" spans="1:73" x14ac:dyDescent="0.25">
      <c r="A238" s="6" t="s">
        <v>40</v>
      </c>
      <c r="B238" s="6" t="s">
        <v>18</v>
      </c>
      <c r="C238" s="18" t="s">
        <v>240</v>
      </c>
      <c r="D238" s="7" t="s">
        <v>241</v>
      </c>
      <c r="E238" s="7" t="s">
        <v>21</v>
      </c>
      <c r="F238" s="7" t="s">
        <v>242</v>
      </c>
      <c r="G238" s="7" t="s">
        <v>23</v>
      </c>
      <c r="H238" s="7" t="s">
        <v>256</v>
      </c>
      <c r="I238" s="6" t="s">
        <v>76</v>
      </c>
      <c r="J238" s="7" t="s">
        <v>244</v>
      </c>
      <c r="K238" s="6" t="s">
        <v>245</v>
      </c>
      <c r="L238" s="9"/>
      <c r="M238" s="10">
        <v>0</v>
      </c>
      <c r="N238" s="6" t="s">
        <v>298</v>
      </c>
      <c r="O238" s="11">
        <v>0</v>
      </c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0">
        <v>0</v>
      </c>
      <c r="AN238" s="10">
        <v>0</v>
      </c>
      <c r="AO238" s="11">
        <v>0</v>
      </c>
      <c r="AP238" s="11">
        <v>0</v>
      </c>
      <c r="AQ238" s="11">
        <v>0</v>
      </c>
      <c r="AR238" s="10">
        <v>0</v>
      </c>
      <c r="AS238" s="10">
        <v>0</v>
      </c>
      <c r="AT238" s="10">
        <v>0</v>
      </c>
      <c r="AU238" s="10">
        <v>0</v>
      </c>
      <c r="AV238" s="10">
        <v>0</v>
      </c>
      <c r="AW238" s="10">
        <v>0</v>
      </c>
      <c r="AX238" s="10">
        <v>0</v>
      </c>
      <c r="AY238" s="10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10">
        <v>0</v>
      </c>
      <c r="BG238" s="10">
        <v>0</v>
      </c>
      <c r="BH238" s="10">
        <v>0</v>
      </c>
      <c r="BI238" s="10">
        <v>0</v>
      </c>
      <c r="BJ238" s="10">
        <v>0</v>
      </c>
      <c r="BK238" s="10">
        <v>0</v>
      </c>
      <c r="BL238" s="10">
        <v>0</v>
      </c>
      <c r="BM238" s="10">
        <v>0</v>
      </c>
      <c r="BN238" s="10">
        <v>0</v>
      </c>
      <c r="BO238" s="10">
        <v>0</v>
      </c>
      <c r="BP238" s="12">
        <v>0</v>
      </c>
      <c r="BQ238" s="12">
        <v>0</v>
      </c>
      <c r="BR238" s="12">
        <v>0</v>
      </c>
      <c r="BS238" s="12">
        <v>0</v>
      </c>
      <c r="BT238" s="12">
        <v>0</v>
      </c>
      <c r="BU238" s="12">
        <f t="shared" si="4"/>
        <v>0</v>
      </c>
    </row>
    <row r="239" spans="1:73" x14ac:dyDescent="0.25">
      <c r="A239" s="6" t="s">
        <v>98</v>
      </c>
      <c r="B239" s="6" t="s">
        <v>18</v>
      </c>
      <c r="C239" s="18" t="s">
        <v>240</v>
      </c>
      <c r="D239" s="7" t="s">
        <v>241</v>
      </c>
      <c r="E239" s="7" t="s">
        <v>21</v>
      </c>
      <c r="F239" s="7" t="s">
        <v>242</v>
      </c>
      <c r="G239" s="7" t="s">
        <v>23</v>
      </c>
      <c r="H239" s="7" t="s">
        <v>257</v>
      </c>
      <c r="I239" s="6" t="s">
        <v>76</v>
      </c>
      <c r="J239" s="7" t="s">
        <v>244</v>
      </c>
      <c r="K239" s="6" t="s">
        <v>245</v>
      </c>
      <c r="L239" s="9"/>
      <c r="M239" s="10">
        <v>0</v>
      </c>
      <c r="N239" s="6" t="s">
        <v>298</v>
      </c>
      <c r="O239" s="11">
        <v>0</v>
      </c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0">
        <v>0</v>
      </c>
      <c r="AN239" s="10">
        <v>0</v>
      </c>
      <c r="AO239" s="11">
        <v>0</v>
      </c>
      <c r="AP239" s="11">
        <v>0</v>
      </c>
      <c r="AQ239" s="11">
        <v>0</v>
      </c>
      <c r="AR239" s="10">
        <v>0</v>
      </c>
      <c r="AS239" s="10">
        <v>0</v>
      </c>
      <c r="AT239" s="10">
        <v>0</v>
      </c>
      <c r="AU239" s="10">
        <v>0</v>
      </c>
      <c r="AV239" s="10">
        <v>0</v>
      </c>
      <c r="AW239" s="10">
        <v>0</v>
      </c>
      <c r="AX239" s="10">
        <v>0</v>
      </c>
      <c r="AY239" s="10">
        <v>0</v>
      </c>
      <c r="AZ239" s="10">
        <v>0</v>
      </c>
      <c r="BA239" s="10">
        <v>0</v>
      </c>
      <c r="BB239" s="10">
        <v>0</v>
      </c>
      <c r="BC239" s="10">
        <v>0</v>
      </c>
      <c r="BD239" s="10">
        <v>0</v>
      </c>
      <c r="BE239" s="10">
        <v>0</v>
      </c>
      <c r="BF239" s="10">
        <v>0</v>
      </c>
      <c r="BG239" s="10">
        <v>0</v>
      </c>
      <c r="BH239" s="10">
        <v>0</v>
      </c>
      <c r="BI239" s="10">
        <v>0</v>
      </c>
      <c r="BJ239" s="10">
        <v>0</v>
      </c>
      <c r="BK239" s="10">
        <v>0</v>
      </c>
      <c r="BL239" s="10">
        <v>0</v>
      </c>
      <c r="BM239" s="10">
        <v>0</v>
      </c>
      <c r="BN239" s="10">
        <v>0</v>
      </c>
      <c r="BO239" s="10">
        <v>0</v>
      </c>
      <c r="BP239" s="12">
        <v>0</v>
      </c>
      <c r="BQ239" s="12">
        <v>0</v>
      </c>
      <c r="BR239" s="12">
        <v>0</v>
      </c>
      <c r="BS239" s="12">
        <v>0</v>
      </c>
      <c r="BT239" s="12">
        <v>0</v>
      </c>
      <c r="BU239" s="12">
        <f t="shared" si="4"/>
        <v>0</v>
      </c>
    </row>
    <row r="240" spans="1:73" x14ac:dyDescent="0.25">
      <c r="A240" s="6" t="s">
        <v>258</v>
      </c>
      <c r="B240" s="6" t="s">
        <v>18</v>
      </c>
      <c r="C240" s="18" t="s">
        <v>240</v>
      </c>
      <c r="D240" s="7" t="s">
        <v>241</v>
      </c>
      <c r="E240" s="7" t="s">
        <v>21</v>
      </c>
      <c r="F240" s="7" t="s">
        <v>242</v>
      </c>
      <c r="G240" s="7" t="s">
        <v>23</v>
      </c>
      <c r="H240" s="7" t="s">
        <v>259</v>
      </c>
      <c r="I240" s="6" t="s">
        <v>76</v>
      </c>
      <c r="J240" s="7" t="s">
        <v>244</v>
      </c>
      <c r="K240" s="6" t="s">
        <v>245</v>
      </c>
      <c r="L240" s="9"/>
      <c r="M240" s="10">
        <v>0</v>
      </c>
      <c r="N240" s="6" t="s">
        <v>298</v>
      </c>
      <c r="O240" s="11">
        <v>0</v>
      </c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0">
        <v>0</v>
      </c>
      <c r="AN240" s="10">
        <v>0</v>
      </c>
      <c r="AO240" s="11">
        <v>0</v>
      </c>
      <c r="AP240" s="11">
        <v>0</v>
      </c>
      <c r="AQ240" s="11">
        <v>0</v>
      </c>
      <c r="AR240" s="10">
        <v>0</v>
      </c>
      <c r="AS240" s="10">
        <v>0</v>
      </c>
      <c r="AT240" s="10">
        <v>0</v>
      </c>
      <c r="AU240" s="10">
        <v>0</v>
      </c>
      <c r="AV240" s="10">
        <v>0</v>
      </c>
      <c r="AW240" s="10">
        <v>0</v>
      </c>
      <c r="AX240" s="10">
        <v>0</v>
      </c>
      <c r="AY240" s="10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10">
        <v>0</v>
      </c>
      <c r="BG240" s="10">
        <v>0</v>
      </c>
      <c r="BH240" s="10">
        <v>0</v>
      </c>
      <c r="BI240" s="10">
        <v>0</v>
      </c>
      <c r="BJ240" s="10">
        <v>0</v>
      </c>
      <c r="BK240" s="10">
        <v>0</v>
      </c>
      <c r="BL240" s="10">
        <v>0</v>
      </c>
      <c r="BM240" s="10">
        <v>0</v>
      </c>
      <c r="BN240" s="10">
        <v>0</v>
      </c>
      <c r="BO240" s="10">
        <v>0</v>
      </c>
      <c r="BP240" s="12">
        <v>0</v>
      </c>
      <c r="BQ240" s="12">
        <v>0</v>
      </c>
      <c r="BR240" s="12">
        <v>0</v>
      </c>
      <c r="BS240" s="12">
        <v>0</v>
      </c>
      <c r="BT240" s="12">
        <v>0</v>
      </c>
      <c r="BU240" s="12">
        <f t="shared" si="4"/>
        <v>0</v>
      </c>
    </row>
    <row r="241" spans="1:73" x14ac:dyDescent="0.25">
      <c r="A241" s="6" t="s">
        <v>42</v>
      </c>
      <c r="B241" s="6" t="s">
        <v>18</v>
      </c>
      <c r="C241" s="18" t="s">
        <v>240</v>
      </c>
      <c r="D241" s="7" t="s">
        <v>241</v>
      </c>
      <c r="E241" s="7" t="s">
        <v>21</v>
      </c>
      <c r="F241" s="7" t="s">
        <v>242</v>
      </c>
      <c r="G241" s="7" t="s">
        <v>23</v>
      </c>
      <c r="H241" s="7" t="s">
        <v>260</v>
      </c>
      <c r="I241" s="6" t="s">
        <v>76</v>
      </c>
      <c r="J241" s="7" t="s">
        <v>244</v>
      </c>
      <c r="K241" s="6" t="s">
        <v>245</v>
      </c>
      <c r="L241" s="9"/>
      <c r="M241" s="10">
        <v>0</v>
      </c>
      <c r="N241" s="6" t="s">
        <v>298</v>
      </c>
      <c r="O241" s="11">
        <v>0</v>
      </c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0">
        <v>0</v>
      </c>
      <c r="AN241" s="10">
        <v>0</v>
      </c>
      <c r="AO241" s="11">
        <v>0</v>
      </c>
      <c r="AP241" s="11">
        <v>0</v>
      </c>
      <c r="AQ241" s="11">
        <v>0</v>
      </c>
      <c r="AR241" s="10">
        <v>0</v>
      </c>
      <c r="AS241" s="10">
        <v>0</v>
      </c>
      <c r="AT241" s="10">
        <v>0</v>
      </c>
      <c r="AU241" s="10">
        <v>0</v>
      </c>
      <c r="AV241" s="10">
        <v>0</v>
      </c>
      <c r="AW241" s="10">
        <v>0</v>
      </c>
      <c r="AX241" s="10">
        <v>0</v>
      </c>
      <c r="AY241" s="10">
        <v>0</v>
      </c>
      <c r="AZ241" s="10">
        <v>0</v>
      </c>
      <c r="BA241" s="10">
        <v>0</v>
      </c>
      <c r="BB241" s="10">
        <v>0</v>
      </c>
      <c r="BC241" s="10">
        <v>0</v>
      </c>
      <c r="BD241" s="10">
        <v>0</v>
      </c>
      <c r="BE241" s="10">
        <v>0</v>
      </c>
      <c r="BF241" s="10">
        <v>0</v>
      </c>
      <c r="BG241" s="10">
        <v>0</v>
      </c>
      <c r="BH241" s="10">
        <v>0</v>
      </c>
      <c r="BI241" s="10">
        <v>0</v>
      </c>
      <c r="BJ241" s="10">
        <v>0</v>
      </c>
      <c r="BK241" s="10">
        <v>0</v>
      </c>
      <c r="BL241" s="10">
        <v>0</v>
      </c>
      <c r="BM241" s="10">
        <v>0</v>
      </c>
      <c r="BN241" s="10">
        <v>0</v>
      </c>
      <c r="BO241" s="10">
        <v>0</v>
      </c>
      <c r="BP241" s="12">
        <v>0</v>
      </c>
      <c r="BQ241" s="12">
        <v>0</v>
      </c>
      <c r="BR241" s="12">
        <v>0</v>
      </c>
      <c r="BS241" s="12">
        <v>0</v>
      </c>
      <c r="BT241" s="12">
        <v>0</v>
      </c>
      <c r="BU241" s="12">
        <f t="shared" si="4"/>
        <v>0</v>
      </c>
    </row>
  </sheetData>
  <mergeCells count="3">
    <mergeCell ref="O2:AQ2"/>
    <mergeCell ref="AR2:BO2"/>
    <mergeCell ref="BP2:BU2"/>
  </mergeCells>
  <conditionalFormatting sqref="H4:H241">
    <cfRule type="containsText" dxfId="1" priority="2" operator="containsText" text="Inexistente">
      <formula>NOT(ISERROR(SEARCH("Inexistente",H4)))</formula>
    </cfRule>
  </conditionalFormatting>
  <conditionalFormatting sqref="I4:I241">
    <cfRule type="expression" dxfId="0" priority="10">
      <formula>AND($E4&lt;&gt;"",$K4="")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Software</vt:lpstr>
      <vt:lpstr>Hardware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Tainá Cristina Ramos</dc:creator>
  <cp:lastModifiedBy>ENRICO SOARES AMIN TEIXEIRA PINTO</cp:lastModifiedBy>
  <dcterms:created xsi:type="dcterms:W3CDTF">2026-02-25T11:46:18Z</dcterms:created>
  <dcterms:modified xsi:type="dcterms:W3CDTF">2026-06-12T19:57:55Z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2f19bc-c0ef-436a-be43-be1adb274cf3_Enabled">
    <vt:lpwstr>true</vt:lpwstr>
  </property>
  <property fmtid="{D5CDD505-2E9C-101B-9397-08002B2CF9AE}" pid="3" name="MSIP_Label_022f19bc-c0ef-436a-be43-be1adb274cf3_SetDate">
    <vt:lpwstr>2026-02-25T11:47:08Z</vt:lpwstr>
  </property>
  <property fmtid="{D5CDD505-2E9C-101B-9397-08002B2CF9AE}" pid="4" name="MSIP_Label_022f19bc-c0ef-436a-be43-be1adb274cf3_Method">
    <vt:lpwstr>Privileged</vt:lpwstr>
  </property>
  <property fmtid="{D5CDD505-2E9C-101B-9397-08002B2CF9AE}" pid="5" name="MSIP_Label_022f19bc-c0ef-436a-be43-be1adb274cf3_Name">
    <vt:lpwstr>Interno</vt:lpwstr>
  </property>
  <property fmtid="{D5CDD505-2E9C-101B-9397-08002B2CF9AE}" pid="6" name="MSIP_Label_022f19bc-c0ef-436a-be43-be1adb274cf3_SiteId">
    <vt:lpwstr>93546618-e20a-4fd3-a884-9e33ca7234a7</vt:lpwstr>
  </property>
  <property fmtid="{D5CDD505-2E9C-101B-9397-08002B2CF9AE}" pid="7" name="MSIP_Label_022f19bc-c0ef-436a-be43-be1adb274cf3_ActionId">
    <vt:lpwstr>930bf811-0de9-4f87-b1f1-4a691252395d</vt:lpwstr>
  </property>
  <property fmtid="{D5CDD505-2E9C-101B-9397-08002B2CF9AE}" pid="8" name="MSIP_Label_022f19bc-c0ef-436a-be43-be1adb274cf3_ContentBits">
    <vt:lpwstr>1</vt:lpwstr>
  </property>
  <property fmtid="{D5CDD505-2E9C-101B-9397-08002B2CF9AE}" pid="9" name="MSIP_Label_022f19bc-c0ef-436a-be43-be1adb274cf3_Tag">
    <vt:lpwstr>10, 0, 1, 1</vt:lpwstr>
  </property>
</Properties>
</file>