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pfl-cps-file\FO\FPS_CAPEX\2026\08. PAN\"/>
    </mc:Choice>
  </mc:AlternateContent>
  <xr:revisionPtr revIDLastSave="0" documentId="8_{B1603CF6-2EDB-432C-B986-7D0ED8E2913F}" xr6:coauthVersionLast="47" xr6:coauthVersionMax="47" xr10:uidLastSave="{00000000-0000-0000-0000-000000000000}"/>
  <bookViews>
    <workbookView xWindow="28680" yWindow="-120" windowWidth="29040" windowHeight="15720" tabRatio="936" xr2:uid="{8026E0DE-09B9-40CF-82E5-671B20989784}"/>
  </bookViews>
  <sheets>
    <sheet name="29.05" sheetId="130" r:id="rId1"/>
  </sheets>
  <definedNames>
    <definedName name="_xlnm._FilterDatabase" localSheetId="0" hidden="1">'29.05'!$A$1:$W$3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30" l="1"/>
  <c r="S8" i="130" s="1"/>
  <c r="N8" i="130"/>
  <c r="R8" i="130" s="1"/>
  <c r="L8" i="130"/>
  <c r="F8" i="130"/>
  <c r="O7" i="130"/>
  <c r="S7" i="130" s="1"/>
  <c r="N7" i="130"/>
  <c r="R7" i="130" s="1"/>
  <c r="L7" i="130"/>
  <c r="F7" i="130"/>
  <c r="O6" i="130"/>
  <c r="S6" i="130" s="1"/>
  <c r="N6" i="130"/>
  <c r="P6" i="130" s="1"/>
  <c r="L6" i="130"/>
  <c r="F6" i="130"/>
  <c r="O5" i="130"/>
  <c r="S5" i="130" s="1"/>
  <c r="N5" i="130"/>
  <c r="R5" i="130" s="1"/>
  <c r="L5" i="130"/>
  <c r="F5" i="130"/>
  <c r="O4" i="130"/>
  <c r="S4" i="130" s="1"/>
  <c r="N4" i="130"/>
  <c r="R4" i="130" s="1"/>
  <c r="L4" i="130"/>
  <c r="F4" i="130"/>
  <c r="O3" i="130"/>
  <c r="S3" i="130" s="1"/>
  <c r="N3" i="130"/>
  <c r="L3" i="130"/>
  <c r="F3" i="130"/>
  <c r="O2" i="130"/>
  <c r="S2" i="130" s="1"/>
  <c r="N2" i="130"/>
  <c r="R2" i="130" s="1"/>
  <c r="L2" i="130"/>
  <c r="F2" i="130"/>
  <c r="T6" i="130" l="1"/>
  <c r="T5" i="130"/>
  <c r="T8" i="130"/>
  <c r="T7" i="130"/>
  <c r="P7" i="130"/>
  <c r="T4" i="130"/>
  <c r="T3" i="130"/>
  <c r="R3" i="130"/>
  <c r="T2" i="130"/>
  <c r="P3" i="130"/>
  <c r="R6" i="130"/>
  <c r="P2" i="130"/>
  <c r="P4" i="130"/>
  <c r="P5" i="130"/>
  <c r="P8" i="130"/>
</calcChain>
</file>

<file path=xl/sharedStrings.xml><?xml version="1.0" encoding="utf-8"?>
<sst xmlns="http://schemas.openxmlformats.org/spreadsheetml/2006/main" count="60" uniqueCount="45">
  <si>
    <t>Categoria</t>
  </si>
  <si>
    <t>PAN</t>
  </si>
  <si>
    <t>Nome</t>
  </si>
  <si>
    <t xml:space="preserve"> Total PAN p/ 2026</t>
  </si>
  <si>
    <t>Total PAN p/  
2027-2030</t>
  </si>
  <si>
    <t>Total geral PAN</t>
  </si>
  <si>
    <t>BAR/BRR</t>
  </si>
  <si>
    <t>Linha Orçamento</t>
  </si>
  <si>
    <t>Orç p/2026</t>
  </si>
  <si>
    <t>Orç p/2027-2030</t>
  </si>
  <si>
    <t>TOTAL Geral orç. 
2026-2030</t>
  </si>
  <si>
    <r>
      <rPr>
        <b/>
        <sz val="11"/>
        <color theme="0"/>
        <rFont val="Aptos Narrow"/>
        <family val="2"/>
      </rPr>
      <t>∆</t>
    </r>
    <r>
      <rPr>
        <b/>
        <sz val="9.35"/>
        <color theme="0"/>
        <rFont val="Aptos Narrow"/>
        <family val="2"/>
      </rPr>
      <t xml:space="preserve"> </t>
    </r>
    <r>
      <rPr>
        <b/>
        <sz val="11"/>
        <color theme="0"/>
        <rFont val="Aptos Narrow"/>
        <family val="2"/>
        <scheme val="minor"/>
      </rPr>
      <t>PAN vs Orçado
2026</t>
    </r>
  </si>
  <si>
    <t>∆ PAN vs Orçado 
2027-2030</t>
  </si>
  <si>
    <t>TOTAL Geral
2026-2030</t>
  </si>
  <si>
    <t>% Variação PAN 
2026</t>
  </si>
  <si>
    <t>% Variação PAN 
2027-2030</t>
  </si>
  <si>
    <t>% Variação Geral PAN</t>
  </si>
  <si>
    <t>Status</t>
  </si>
  <si>
    <t>BRR</t>
  </si>
  <si>
    <t>2153/26</t>
  </si>
  <si>
    <t>PAN TK INSTALAÇÃO DE BAY NA SE ÁGUAS DE SANTA BÁRBARA 1</t>
  </si>
  <si>
    <t>PESE</t>
  </si>
  <si>
    <t>PES_SC0779_BAY_SE_AGUASDESANTABARBARA</t>
  </si>
  <si>
    <t xml:space="preserve">Sem retorno da área. </t>
  </si>
  <si>
    <t>2193/26</t>
  </si>
  <si>
    <t>CONTRATAÇÃO DE IMPLANTAÇÃO DE FIBRA ÓPTICA NA CPFL PAULISTA, PIRATININGA, SANTA CRUZ E RGE</t>
  </si>
  <si>
    <t>82C TELECOMUNICAÇÃO</t>
  </si>
  <si>
    <t>Ok</t>
  </si>
  <si>
    <t>2196/26</t>
  </si>
  <si>
    <t>ADITIVO DE VALOR AO CONTRATO 4600089754 (MONITORAMENTO AMBIENTAL DE OBRAS DE DISTRIBUIÇÃO DE ENERGIA</t>
  </si>
  <si>
    <t>29C ADEQUAÇÃO DE CAPACIDADE SE/LT</t>
  </si>
  <si>
    <t>TI</t>
  </si>
  <si>
    <t>2182/26</t>
  </si>
  <si>
    <t>PROJETO CONFORMIDADE REGULATÓRIA</t>
  </si>
  <si>
    <t>2GC INFORMÁTICA - PIC</t>
  </si>
  <si>
    <t>2184/26</t>
  </si>
  <si>
    <t>REFORMA TRIBUTÁRIA FASE 2</t>
  </si>
  <si>
    <t>79C INFORMÁTICA SOFTWARE</t>
  </si>
  <si>
    <t>Ok - Adição de orçamento no próximo ciclo</t>
  </si>
  <si>
    <t>2203/26</t>
  </si>
  <si>
    <t>ADITIVO CONTRATO EVT</t>
  </si>
  <si>
    <t>2207/26</t>
  </si>
  <si>
    <t>SUBSTITUIÇÃO DO ATUAL PAINEL LED / RELÓGIO, DO BLOCO 3 SEDE CAMPINAS</t>
  </si>
  <si>
    <t>80C INFORMÁTICA HARDWARE</t>
  </si>
  <si>
    <t>OK - Valor não previsto em orçamento que deverá ser compensado com o saving de outros projetos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</si>
</sst>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#,##0.0;[Blue]\(#,##0.0\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Aptos Narrow"/>
      <family val="2"/>
    </font>
    <font>
      <b/>
      <sz val="9.35"/>
      <color theme="0"/>
      <name val="Aptos Narrow"/>
      <family val="2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name val="Tms Rmn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5" fillId="0" borderId="0" applyFont="0" applyFill="0" applyBorder="0" applyAlignment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1" fillId="0" borderId="0" xfId="1" applyNumberFormat="1" applyFont="1"/>
    <xf numFmtId="164" fontId="0" fillId="0" borderId="0" xfId="1" applyNumberFormat="1" applyFont="1"/>
    <xf numFmtId="164" fontId="0" fillId="0" borderId="0" xfId="1" applyNumberFormat="1" applyFont="1" applyFill="1"/>
    <xf numFmtId="164" fontId="3" fillId="0" borderId="0" xfId="1" applyNumberFormat="1" applyFont="1"/>
    <xf numFmtId="0" fontId="0" fillId="0" borderId="0" xfId="0" applyAlignment="1">
      <alignment horizontal="center"/>
    </xf>
    <xf numFmtId="0" fontId="7" fillId="0" borderId="1" xfId="1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7" fillId="0" borderId="2" xfId="1" applyNumberFormat="1" applyFont="1" applyFill="1" applyBorder="1" applyAlignment="1">
      <alignment horizontal="center" vertical="center"/>
    </xf>
    <xf numFmtId="164" fontId="8" fillId="0" borderId="2" xfId="1" applyNumberFormat="1" applyFont="1" applyFill="1" applyBorder="1" applyAlignment="1">
      <alignment vertical="center"/>
    </xf>
    <xf numFmtId="164" fontId="8" fillId="0" borderId="2" xfId="1" applyNumberFormat="1" applyFont="1" applyFill="1" applyBorder="1" applyAlignment="1">
      <alignment horizontal="center" vertical="center" wrapText="1"/>
    </xf>
    <xf numFmtId="164" fontId="7" fillId="0" borderId="2" xfId="1" applyNumberFormat="1" applyFont="1" applyFill="1" applyBorder="1" applyAlignment="1">
      <alignment vertical="center"/>
    </xf>
    <xf numFmtId="9" fontId="8" fillId="0" borderId="2" xfId="2" applyFont="1" applyFill="1" applyBorder="1" applyAlignment="1">
      <alignment horizontal="center" vertical="center"/>
    </xf>
    <xf numFmtId="9" fontId="7" fillId="0" borderId="2" xfId="2" applyFont="1" applyFill="1" applyBorder="1" applyAlignment="1">
      <alignment horizontal="center" vertical="center"/>
    </xf>
    <xf numFmtId="43" fontId="8" fillId="6" borderId="2" xfId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 wrapText="1"/>
    </xf>
    <xf numFmtId="164" fontId="2" fillId="3" borderId="2" xfId="1" quotePrefix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3" fillId="0" borderId="2" xfId="1" applyNumberFormat="1" applyFont="1" applyFill="1" applyBorder="1" applyAlignment="1">
      <alignment horizontal="center" vertical="center"/>
    </xf>
    <xf numFmtId="164" fontId="14" fillId="0" borderId="2" xfId="1" applyNumberFormat="1" applyFont="1" applyFill="1" applyBorder="1" applyAlignment="1">
      <alignment vertical="center"/>
    </xf>
    <xf numFmtId="164" fontId="14" fillId="0" borderId="2" xfId="1" applyNumberFormat="1" applyFont="1" applyFill="1" applyBorder="1" applyAlignment="1">
      <alignment horizontal="center" vertical="center" wrapText="1"/>
    </xf>
    <xf numFmtId="164" fontId="13" fillId="0" borderId="2" xfId="1" applyNumberFormat="1" applyFont="1" applyFill="1" applyBorder="1" applyAlignment="1">
      <alignment vertical="center"/>
    </xf>
    <xf numFmtId="9" fontId="14" fillId="0" borderId="2" xfId="2" applyFont="1" applyFill="1" applyBorder="1" applyAlignment="1">
      <alignment horizontal="center" vertical="center"/>
    </xf>
    <xf numFmtId="9" fontId="13" fillId="0" borderId="2" xfId="2" applyFont="1" applyFill="1" applyBorder="1" applyAlignment="1">
      <alignment horizontal="center" vertical="center"/>
    </xf>
    <xf numFmtId="0" fontId="13" fillId="0" borderId="2" xfId="1" applyNumberFormat="1" applyFont="1" applyFill="1" applyBorder="1" applyAlignment="1">
      <alignment horizontal="left" vertical="center" wrapText="1"/>
    </xf>
    <xf numFmtId="0" fontId="11" fillId="0" borderId="0" xfId="0" applyFont="1"/>
    <xf numFmtId="164" fontId="8" fillId="0" borderId="2" xfId="1" applyNumberFormat="1" applyFont="1" applyFill="1" applyBorder="1" applyAlignment="1">
      <alignment horizontal="center" vertical="center"/>
    </xf>
    <xf numFmtId="164" fontId="14" fillId="0" borderId="2" xfId="1" applyNumberFormat="1" applyFont="1" applyFill="1" applyBorder="1" applyAlignment="1">
      <alignment horizontal="center" vertical="center"/>
    </xf>
    <xf numFmtId="43" fontId="14" fillId="7" borderId="2" xfId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5">
    <cellStyle name="#.##0,0" xfId="4" xr:uid="{085ABA47-E617-4987-B62E-4DEF7BEEFD86}"/>
    <cellStyle name="Normal" xfId="0" builtinId="0"/>
    <cellStyle name="Porcentagem" xfId="2" builtinId="5"/>
    <cellStyle name="Vírgula" xfId="1" builtinId="3"/>
    <cellStyle name="Vírgula 2" xfId="3" xr:uid="{367DBB45-2C18-4DD0-8C5D-0DC49BF4E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017F9-8681-4B5D-89C2-541767E6B273}">
  <dimension ref="A1:W8"/>
  <sheetViews>
    <sheetView showGridLines="0" tabSelected="1" zoomScale="90" zoomScaleNormal="90" workbookViewId="0">
      <pane ySplit="1" topLeftCell="A2" activePane="bottomLeft" state="frozen"/>
      <selection pane="bottomLeft"/>
      <selection activeCell="A11" sqref="A11"/>
    </sheetView>
  </sheetViews>
  <sheetFormatPr defaultColWidth="22.42578125" defaultRowHeight="14.45" outlineLevelCol="1"/>
  <cols>
    <col min="1" max="1" width="13.85546875" customWidth="1"/>
    <col min="2" max="2" width="9.5703125" customWidth="1"/>
    <col min="3" max="3" width="95.140625" bestFit="1" customWidth="1"/>
    <col min="4" max="4" width="18.140625" style="3" bestFit="1" customWidth="1"/>
    <col min="5" max="5" width="17.5703125" style="4" bestFit="1" customWidth="1"/>
    <col min="6" max="6" width="20.140625" style="6" bestFit="1" customWidth="1"/>
    <col min="7" max="7" width="1.5703125" style="5" customWidth="1"/>
    <col min="8" max="8" width="14.140625" bestFit="1" customWidth="1"/>
    <col min="9" max="9" width="34.5703125" style="7" bestFit="1" customWidth="1"/>
    <col min="10" max="10" width="17" style="3" customWidth="1" outlineLevel="1"/>
    <col min="11" max="11" width="19" style="4" customWidth="1" outlineLevel="1"/>
    <col min="12" max="12" width="16.140625" style="6" customWidth="1" outlineLevel="1"/>
    <col min="13" max="13" width="1.5703125" style="5" customWidth="1"/>
    <col min="14" max="14" width="15" style="4" customWidth="1" outlineLevel="1"/>
    <col min="15" max="16" width="18.140625" style="4" customWidth="1" outlineLevel="1"/>
    <col min="17" max="17" width="1.5703125" style="5" customWidth="1"/>
    <col min="18" max="19" width="18.140625" style="4" customWidth="1" outlineLevel="1"/>
    <col min="20" max="20" width="15" customWidth="1" outlineLevel="1"/>
    <col min="21" max="21" width="11.5703125" bestFit="1" customWidth="1"/>
    <col min="22" max="22" width="90.5703125" customWidth="1"/>
  </cols>
  <sheetData>
    <row r="1" spans="1:23" s="2" customFormat="1" ht="29.1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2" t="s">
        <v>5</v>
      </c>
      <c r="G1" s="23"/>
      <c r="H1" s="21" t="s">
        <v>6</v>
      </c>
      <c r="I1" s="21" t="s">
        <v>7</v>
      </c>
      <c r="J1" s="24" t="s">
        <v>8</v>
      </c>
      <c r="K1" s="25" t="s">
        <v>9</v>
      </c>
      <c r="L1" s="26" t="s">
        <v>10</v>
      </c>
      <c r="M1" s="23"/>
      <c r="N1" s="27" t="s">
        <v>11</v>
      </c>
      <c r="O1" s="27" t="s">
        <v>12</v>
      </c>
      <c r="P1" s="27" t="s">
        <v>13</v>
      </c>
      <c r="Q1" s="23"/>
      <c r="R1" s="28" t="s">
        <v>14</v>
      </c>
      <c r="S1" s="28" t="s">
        <v>15</v>
      </c>
      <c r="T1" s="28" t="s">
        <v>16</v>
      </c>
      <c r="U1" s="21" t="s">
        <v>17</v>
      </c>
      <c r="V1" s="21"/>
      <c r="W1" s="1"/>
    </row>
    <row r="2" spans="1:23" s="39" customFormat="1" ht="29.25" customHeight="1">
      <c r="A2" s="29" t="s">
        <v>18</v>
      </c>
      <c r="B2" s="30" t="s">
        <v>19</v>
      </c>
      <c r="C2" s="44" t="s">
        <v>20</v>
      </c>
      <c r="D2" s="31">
        <v>0</v>
      </c>
      <c r="E2" s="31">
        <v>4817457.4832999995</v>
      </c>
      <c r="F2" s="32">
        <f t="shared" ref="F2:F8" si="0">SUM(D2:E2)</f>
        <v>4817457.4832999995</v>
      </c>
      <c r="G2" s="33"/>
      <c r="H2" s="29" t="s">
        <v>21</v>
      </c>
      <c r="I2" s="34" t="s">
        <v>22</v>
      </c>
      <c r="J2" s="31">
        <v>0</v>
      </c>
      <c r="K2" s="31">
        <v>1339097.8507996618</v>
      </c>
      <c r="L2" s="35">
        <f t="shared" ref="L2:L8" si="1">J2+K2</f>
        <v>1339097.8507996618</v>
      </c>
      <c r="M2" s="33"/>
      <c r="N2" s="41">
        <f>D2-J2</f>
        <v>0</v>
      </c>
      <c r="O2" s="41">
        <f>E2-K2</f>
        <v>3478359.6325003374</v>
      </c>
      <c r="P2" s="35">
        <f t="shared" ref="P2:P8" si="2">N2+O2</f>
        <v>3478359.6325003374</v>
      </c>
      <c r="Q2" s="33"/>
      <c r="R2" s="36">
        <f t="shared" ref="R2:S8" si="3">IFERROR(N2/J2,0)</f>
        <v>0</v>
      </c>
      <c r="S2" s="36">
        <f t="shared" si="3"/>
        <v>2.5975395527841258</v>
      </c>
      <c r="T2" s="37">
        <f t="shared" ref="T2:T8" si="4">IFERROR(SUM(N2:O2)/L2,0)</f>
        <v>2.5975395527841258</v>
      </c>
      <c r="U2" s="42"/>
      <c r="V2" s="38" t="s">
        <v>23</v>
      </c>
      <c r="W2" s="10"/>
    </row>
    <row r="3" spans="1:23" ht="29.25" customHeight="1">
      <c r="A3" s="11" t="s">
        <v>18</v>
      </c>
      <c r="B3" s="12" t="s">
        <v>24</v>
      </c>
      <c r="C3" s="43" t="s">
        <v>25</v>
      </c>
      <c r="D3" s="13">
        <v>0</v>
      </c>
      <c r="E3" s="13">
        <v>6476033.8899999997</v>
      </c>
      <c r="F3" s="14">
        <f t="shared" si="0"/>
        <v>6476033.8899999997</v>
      </c>
      <c r="G3" s="15"/>
      <c r="H3" s="11" t="s">
        <v>18</v>
      </c>
      <c r="I3" s="16" t="s">
        <v>26</v>
      </c>
      <c r="J3" s="13">
        <v>35940304.225217044</v>
      </c>
      <c r="K3" s="13">
        <v>189519710</v>
      </c>
      <c r="L3" s="17">
        <f t="shared" si="1"/>
        <v>225460014.22521704</v>
      </c>
      <c r="M3" s="15">
        <v>19752660.796703435</v>
      </c>
      <c r="N3" s="40">
        <f t="shared" ref="N3:O8" si="5">D3-J3</f>
        <v>-35940304.225217044</v>
      </c>
      <c r="O3" s="40">
        <f t="shared" si="5"/>
        <v>-183043676.11000001</v>
      </c>
      <c r="P3" s="17">
        <f t="shared" si="2"/>
        <v>-218983980.33521706</v>
      </c>
      <c r="Q3" s="15"/>
      <c r="R3" s="18">
        <f t="shared" si="3"/>
        <v>-1</v>
      </c>
      <c r="S3" s="18">
        <f t="shared" si="3"/>
        <v>-0.96582923280116884</v>
      </c>
      <c r="T3" s="19">
        <f t="shared" si="4"/>
        <v>-0.97127635287235048</v>
      </c>
      <c r="U3" s="20"/>
      <c r="V3" s="8" t="s">
        <v>27</v>
      </c>
      <c r="W3" s="9"/>
    </row>
    <row r="4" spans="1:23" ht="29.25" customHeight="1">
      <c r="A4" s="11" t="s">
        <v>18</v>
      </c>
      <c r="B4" s="12" t="s">
        <v>28</v>
      </c>
      <c r="C4" s="43" t="s">
        <v>29</v>
      </c>
      <c r="D4" s="13">
        <v>800000</v>
      </c>
      <c r="E4" s="13">
        <v>0</v>
      </c>
      <c r="F4" s="14">
        <f t="shared" si="0"/>
        <v>800000</v>
      </c>
      <c r="G4" s="15"/>
      <c r="H4" s="11" t="s">
        <v>18</v>
      </c>
      <c r="I4" s="16" t="s">
        <v>30</v>
      </c>
      <c r="J4" s="13">
        <v>191281671.58140951</v>
      </c>
      <c r="K4" s="13">
        <v>780298619</v>
      </c>
      <c r="L4" s="17">
        <f t="shared" si="1"/>
        <v>971580290.58140945</v>
      </c>
      <c r="M4" s="15">
        <v>19752660.796703435</v>
      </c>
      <c r="N4" s="40">
        <f t="shared" si="5"/>
        <v>-190481671.58140951</v>
      </c>
      <c r="O4" s="40">
        <f t="shared" si="5"/>
        <v>-780298619</v>
      </c>
      <c r="P4" s="17">
        <f t="shared" si="2"/>
        <v>-970780290.58140945</v>
      </c>
      <c r="Q4" s="15"/>
      <c r="R4" s="18">
        <f t="shared" si="3"/>
        <v>-0.99581768606795384</v>
      </c>
      <c r="S4" s="18">
        <f t="shared" si="3"/>
        <v>-1</v>
      </c>
      <c r="T4" s="19">
        <f t="shared" si="4"/>
        <v>-0.99917659918819346</v>
      </c>
      <c r="U4" s="20"/>
      <c r="V4" s="8" t="s">
        <v>27</v>
      </c>
      <c r="W4" s="9"/>
    </row>
    <row r="5" spans="1:23" ht="29.25" customHeight="1">
      <c r="A5" s="11" t="s">
        <v>31</v>
      </c>
      <c r="B5" s="12" t="s">
        <v>32</v>
      </c>
      <c r="C5" s="43" t="s">
        <v>33</v>
      </c>
      <c r="D5" s="13">
        <v>4790005.32</v>
      </c>
      <c r="E5" s="13">
        <v>11818889.68</v>
      </c>
      <c r="F5" s="14">
        <f t="shared" si="0"/>
        <v>16608895</v>
      </c>
      <c r="G5" s="15"/>
      <c r="H5" s="11" t="s">
        <v>31</v>
      </c>
      <c r="I5" s="16" t="s">
        <v>34</v>
      </c>
      <c r="J5" s="13">
        <v>4790612.5471036304</v>
      </c>
      <c r="K5" s="13">
        <v>11818285</v>
      </c>
      <c r="L5" s="17">
        <f t="shared" si="1"/>
        <v>16608897.54710363</v>
      </c>
      <c r="M5" s="15">
        <v>19752660.796703435</v>
      </c>
      <c r="N5" s="40">
        <f t="shared" si="5"/>
        <v>-607.22710363008082</v>
      </c>
      <c r="O5" s="40">
        <f t="shared" si="5"/>
        <v>604.67999999970198</v>
      </c>
      <c r="P5" s="17">
        <f t="shared" si="2"/>
        <v>-2.5471036303788424</v>
      </c>
      <c r="Q5" s="15"/>
      <c r="R5" s="18">
        <f t="shared" si="3"/>
        <v>-1.2675354094273517E-4</v>
      </c>
      <c r="S5" s="18">
        <f t="shared" si="3"/>
        <v>5.1164784061283171E-5</v>
      </c>
      <c r="T5" s="19">
        <f t="shared" si="4"/>
        <v>-1.5335777845309325E-7</v>
      </c>
      <c r="U5" s="20"/>
      <c r="V5" s="8" t="s">
        <v>27</v>
      </c>
      <c r="W5" s="9"/>
    </row>
    <row r="6" spans="1:23" ht="29.25" customHeight="1">
      <c r="A6" s="11" t="s">
        <v>31</v>
      </c>
      <c r="B6" s="12" t="s">
        <v>35</v>
      </c>
      <c r="C6" s="43" t="s">
        <v>36</v>
      </c>
      <c r="D6" s="13">
        <v>5740004.1500000004</v>
      </c>
      <c r="E6" s="13">
        <v>2460001.77</v>
      </c>
      <c r="F6" s="14">
        <f t="shared" si="0"/>
        <v>8200005.9199999999</v>
      </c>
      <c r="G6" s="15"/>
      <c r="H6" s="11" t="s">
        <v>31</v>
      </c>
      <c r="I6" s="16" t="s">
        <v>37</v>
      </c>
      <c r="J6" s="13">
        <v>10841938.352396803</v>
      </c>
      <c r="K6" s="13">
        <v>0</v>
      </c>
      <c r="L6" s="17">
        <f t="shared" si="1"/>
        <v>10841938.352396803</v>
      </c>
      <c r="M6" s="15">
        <v>19752660.796703435</v>
      </c>
      <c r="N6" s="40">
        <f t="shared" si="5"/>
        <v>-5101934.2023968026</v>
      </c>
      <c r="O6" s="40">
        <f t="shared" si="5"/>
        <v>2460001.77</v>
      </c>
      <c r="P6" s="17">
        <f t="shared" si="2"/>
        <v>-2641932.4323968026</v>
      </c>
      <c r="Q6" s="15"/>
      <c r="R6" s="18">
        <f t="shared" si="3"/>
        <v>-0.47057399115988602</v>
      </c>
      <c r="S6" s="18">
        <f t="shared" si="3"/>
        <v>0</v>
      </c>
      <c r="T6" s="19">
        <f t="shared" si="4"/>
        <v>-0.24367713101898947</v>
      </c>
      <c r="U6" s="20"/>
      <c r="V6" s="8" t="s">
        <v>38</v>
      </c>
      <c r="W6" s="9"/>
    </row>
    <row r="7" spans="1:23" ht="29.25" customHeight="1">
      <c r="A7" s="11" t="s">
        <v>31</v>
      </c>
      <c r="B7" s="12" t="s">
        <v>39</v>
      </c>
      <c r="C7" s="43" t="s">
        <v>40</v>
      </c>
      <c r="D7" s="13">
        <v>784343.67999999993</v>
      </c>
      <c r="E7" s="13">
        <v>158198.09999999998</v>
      </c>
      <c r="F7" s="14">
        <f t="shared" si="0"/>
        <v>942541.77999999991</v>
      </c>
      <c r="G7" s="15"/>
      <c r="H7" s="11" t="s">
        <v>31</v>
      </c>
      <c r="I7" s="16" t="s">
        <v>37</v>
      </c>
      <c r="J7" s="13">
        <v>4761969.3248320064</v>
      </c>
      <c r="K7" s="13">
        <v>3445702.4310203786</v>
      </c>
      <c r="L7" s="17">
        <f t="shared" si="1"/>
        <v>8207671.7558523845</v>
      </c>
      <c r="M7" s="15">
        <v>19752660.796703435</v>
      </c>
      <c r="N7" s="40">
        <f t="shared" si="5"/>
        <v>-3977625.6448320067</v>
      </c>
      <c r="O7" s="40">
        <f t="shared" si="5"/>
        <v>-3287504.3310203785</v>
      </c>
      <c r="P7" s="17">
        <f t="shared" si="2"/>
        <v>-7265129.9758523852</v>
      </c>
      <c r="Q7" s="15"/>
      <c r="R7" s="18">
        <f t="shared" si="3"/>
        <v>-0.83529006037272824</v>
      </c>
      <c r="S7" s="18">
        <f t="shared" si="3"/>
        <v>-0.95408828731819628</v>
      </c>
      <c r="T7" s="19">
        <f t="shared" si="4"/>
        <v>-0.88516331938738524</v>
      </c>
      <c r="U7" s="20"/>
      <c r="V7" s="8" t="s">
        <v>27</v>
      </c>
      <c r="W7" s="9"/>
    </row>
    <row r="8" spans="1:23" ht="29.25" customHeight="1">
      <c r="A8" s="11" t="s">
        <v>31</v>
      </c>
      <c r="B8" s="12" t="s">
        <v>41</v>
      </c>
      <c r="C8" s="43" t="s">
        <v>42</v>
      </c>
      <c r="D8" s="13">
        <v>2700000</v>
      </c>
      <c r="E8" s="13">
        <v>0</v>
      </c>
      <c r="F8" s="14">
        <f t="shared" si="0"/>
        <v>2700000</v>
      </c>
      <c r="G8" s="15"/>
      <c r="H8" s="11" t="s">
        <v>31</v>
      </c>
      <c r="I8" s="16" t="s">
        <v>43</v>
      </c>
      <c r="J8" s="13"/>
      <c r="K8" s="13"/>
      <c r="L8" s="17">
        <f t="shared" si="1"/>
        <v>0</v>
      </c>
      <c r="M8" s="15">
        <v>19752660.796703435</v>
      </c>
      <c r="N8" s="40">
        <f t="shared" si="5"/>
        <v>2700000</v>
      </c>
      <c r="O8" s="40">
        <f t="shared" si="5"/>
        <v>0</v>
      </c>
      <c r="P8" s="17">
        <f t="shared" si="2"/>
        <v>2700000</v>
      </c>
      <c r="Q8" s="15"/>
      <c r="R8" s="18">
        <f t="shared" si="3"/>
        <v>0</v>
      </c>
      <c r="S8" s="18">
        <f t="shared" si="3"/>
        <v>0</v>
      </c>
      <c r="T8" s="19">
        <f t="shared" si="4"/>
        <v>0</v>
      </c>
      <c r="U8" s="20"/>
      <c r="V8" s="8" t="s">
        <v>44</v>
      </c>
      <c r="W8" s="9"/>
    </row>
  </sheetData>
  <pageMargins left="0.511811024" right="0.511811024" top="0.78740157499999996" bottom="0.78740157499999996" header="0.31496062000000002" footer="0.31496062000000002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de Campos</dc:creator>
  <cp:keywords/>
  <dc:description/>
  <cp:lastModifiedBy/>
  <cp:revision/>
  <dcterms:created xsi:type="dcterms:W3CDTF">2025-01-06T11:43:02Z</dcterms:created>
  <dcterms:modified xsi:type="dcterms:W3CDTF">2026-06-10T20:39:02Z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3c2570-622b-435c-a1e7-755f37a0817f_Enabled">
    <vt:lpwstr>true</vt:lpwstr>
  </property>
  <property fmtid="{D5CDD505-2E9C-101B-9397-08002B2CF9AE}" pid="3" name="MSIP_Label_263c2570-622b-435c-a1e7-755f37a0817f_SetDate">
    <vt:lpwstr>2025-01-06T11:44:07Z</vt:lpwstr>
  </property>
  <property fmtid="{D5CDD505-2E9C-101B-9397-08002B2CF9AE}" pid="4" name="MSIP_Label_263c2570-622b-435c-a1e7-755f37a0817f_Method">
    <vt:lpwstr>Privileged</vt:lpwstr>
  </property>
  <property fmtid="{D5CDD505-2E9C-101B-9397-08002B2CF9AE}" pid="5" name="MSIP_Label_263c2570-622b-435c-a1e7-755f37a0817f_Name">
    <vt:lpwstr>Publico</vt:lpwstr>
  </property>
  <property fmtid="{D5CDD505-2E9C-101B-9397-08002B2CF9AE}" pid="6" name="MSIP_Label_263c2570-622b-435c-a1e7-755f37a0817f_SiteId">
    <vt:lpwstr>93546618-e20a-4fd3-a884-9e33ca7234a7</vt:lpwstr>
  </property>
  <property fmtid="{D5CDD505-2E9C-101B-9397-08002B2CF9AE}" pid="7" name="MSIP_Label_263c2570-622b-435c-a1e7-755f37a0817f_ActionId">
    <vt:lpwstr>12350857-1733-4b6a-af1a-16fa0f5e1be6</vt:lpwstr>
  </property>
  <property fmtid="{D5CDD505-2E9C-101B-9397-08002B2CF9AE}" pid="8" name="MSIP_Label_263c2570-622b-435c-a1e7-755f37a0817f_ContentBits">
    <vt:lpwstr>1</vt:lpwstr>
  </property>
</Properties>
</file>